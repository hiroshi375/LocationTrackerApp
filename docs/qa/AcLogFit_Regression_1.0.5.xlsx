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38608df59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計" sheetId="1" r:id="R5aca9beeb5074c22"/>
    <x:sheet xmlns:r="http://schemas.openxmlformats.org/officeDocument/2006/relationships" name="テストケース" sheetId="2" r:id="R0ae06d169dc84338"/>
    <x:sheet xmlns:r="http://schemas.openxmlformats.org/officeDocument/2006/relationships" name="実施ガイド" sheetId="3" r:id="R56dfb6bf4f204e15"/>
    <x:sheet xmlns:r="http://schemas.openxmlformats.org/officeDocument/2006/relationships" name="残テスト・自動化" sheetId="4" r:id="R32a2b13a027d4bea"/>
    <x:sheet xmlns:r="http://schemas.openxmlformats.org/officeDocument/2006/relationships" name="証跡台帳" sheetId="5" r:id="Rb61e06bf30d0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6">
    <x:font>
      <x:sz val="11"/>
      <x:name val="Carlito"/>
    </x:font>
    <x:font>
      <x:sz val="11"/>
      <x:color rgb="FF1F2937"/>
      <x:name val="Arial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7365D"/>
      </x:patternFill>
    </x:fill>
    <x:fill>
      <x:patternFill patternType="solid">
        <x:fgColor rgb="FFE5EDF5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245A81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4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color rgb="FF24523A"/>
      </x:font>
      <x:fill>
        <x:patternFill>
          <x:bgColor rgb="FFE6F1E9"/>
        </x:patternFill>
      </x:fill>
    </x:dxf>
    <x:dxf>
      <x:font>
        <x:color rgb="FF9C2424"/>
      </x:font>
      <x:fill>
        <x:patternFill>
          <x:bgColor rgb="FFFBE6E4"/>
        </x:patternFill>
      </x:fill>
    </x:dxf>
    <x:dxf>
      <x:font>
        <x:color rgb="FF715116"/>
      </x:font>
      <x:fill>
        <x:patternFill>
          <x:bgColor rgb="FFFFF1CF"/>
        </x:patternFill>
      </x:fill>
    </x:dxf>
    <x:dxf>
      <x:font>
        <x:color rgb="FF67717F"/>
      </x:font>
      <x:fill>
        <x:patternFill>
          <x:bgColor rgb="FFECEFF3"/>
        </x:patternFill>
      </x:fill>
    </x:dxf>
    <x:dxf>
      <x:font>
        <x:color rgb="FF24523A"/>
      </x:font>
      <x:fill>
        <x:patternFill>
          <x:bgColor rgb="FFE6F1E9"/>
        </x:patternFill>
      </x:fill>
    </x:dxf>
    <x:dxf>
      <x:font>
        <x:color rgb="FF715116"/>
      </x:font>
      <x:fill>
        <x:patternFill>
          <x:bgColor rgb="FFFFF1CF"/>
        </x:patternFill>
      </x:fill>
    </x:dxf>
    <x:dxf>
      <x:font>
        <x:color rgb="FF45516C"/>
      </x:font>
      <x:fill>
        <x:patternFill>
          <x:bgColor rgb="FFEBEFF6"/>
        </x:patternFill>
      </x:fill>
    </x:dxf>
    <x:dxf>
      <x:font>
        <x:color rgb="FF24523A"/>
      </x:font>
      <x:fill>
        <x:patternFill patternType="solid">
          <x:bgColor rgb="FFE6F1E9"/>
        </x:patternFill>
      </x:fill>
    </x:dxf>
    <x:dxf>
      <x:font>
        <x:color rgb="FF715116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8d2abb933493e" /><Relationship Type="http://schemas.openxmlformats.org/officeDocument/2006/relationships/theme" Target="/xl/theme/theme1.xml" Id="Rf89e924b4e704a1b" /><Relationship Type="http://schemas.openxmlformats.org/officeDocument/2006/relationships/sharedStrings" Target="/xl/sharedStrings.xml" Id="Re959dcfc1b944ee6" /><Relationship Type="http://schemas.openxmlformats.org/officeDocument/2006/relationships/worksheet" Target="/xl/worksheets/sheet1.xml" Id="R5aca9beeb5074c22" /><Relationship Type="http://schemas.openxmlformats.org/officeDocument/2006/relationships/worksheet" Target="/xl/worksheets/sheet2.xml" Id="R0ae06d169dc84338" /><Relationship Type="http://schemas.openxmlformats.org/officeDocument/2006/relationships/worksheet" Target="/xl/worksheets/sheet3.xml" Id="R56dfb6bf4f204e15" /><Relationship Type="http://schemas.openxmlformats.org/officeDocument/2006/relationships/worksheet" Target="/xl/worksheets/sheet4.xml" Id="R32a2b13a027d4bea" /><Relationship Type="http://schemas.openxmlformats.org/officeDocument/2006/relationships/worksheet" Target="/xl/worksheets/sheet5.xml" Id="Rb61e06bf30d04b9e" /></Relationships>
</file>

<file path=xl/tables/table1.xml><?xml version="1.0" encoding="utf-8"?>
<x:table xmlns:x="http://schemas.openxmlformats.org/spreadsheetml/2006/main" id="1" name="RegressionCases" displayName="RegressionCases" ref="A7:Z148" headerRowCount="1" totalsRowCount="0" totalsRowShown="0">
  <x:autoFilter ref="A7:Z148"/>
  <x:tableColumns count="26">
    <x:tableColumn id="1" name="No"/>
    <x:tableColumn id="2" name="分類"/>
    <x:tableColumn id="3" name="確認機能"/>
    <x:tableColumn id="4" name="テスト項目"/>
    <x:tableColumn id="5" name="想定結果"/>
    <x:tableColumn id="6" name="自動実機テストor手動実機テスト"/>
    <x:tableColumn id="7" name="OS区分"/>
    <x:tableColumn id="8" name="優先度"/>
    <x:tableColumn id="9" name="前提条件"/>
    <x:tableColumn id="10" name="操作手順"/>
    <x:tableColumn id="11" name="OS差異・注意点"/>
    <x:tableColumn id="12" name="現行iOS12 OK/NG評価"/>
    <x:tableColumn id="13" name="現行Android27 OK/NG評価"/>
    <x:tableColumn id="14" name="iOS 実測・実施日・担当"/>
    <x:tableColumn id="15" name="Android 実測・実施日・担当"/>
    <x:tableColumn id="16" name="証跡・不具合ID"/>
    <x:tableColumn id="17" name="自動化／観測方法"/>
    <x:tableColumn id="18" name="補足"/>
    <x:tableColumn id="19" name="iOS 現行確認区分"/>
    <x:tableColumn id="20" name="Android 現行確認区分"/>
    <x:tableColumn id="21" name="過去のiOS結果・対象ビルド"/>
    <x:tableColumn id="22" name="過去のAndroid結果・対象ビルド"/>
    <x:tableColumn id="23" name="出荷前の扱い"/>
    <x:tableColumn id="24" name="必要な残確認・判断"/>
    <x:tableColumn id="25" name="自動化優先度"/>
    <x:tableColumn id="26" name="自動化の具体案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videnceLedger" displayName="EvidenceLedger" ref="A7:G30" headerRowCount="1" totalsRowCount="0" totalsRowShown="0">
  <x:tableColumns count="7">
    <x:tableColumn id="1" name="証跡ID"/>
    <x:tableColumn id="2" name="証拠の種別"/>
    <x:tableColumn id="3" name="対象ビルド・ソース"/>
    <x:tableColumn id="4" name="実施/記録日"/>
    <x:tableColumn id="5" name="確認内容と限界"/>
    <x:tableColumn id="6" name="資料パス"/>
    <x:tableColumn id="7" name="参照箇所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1cd07fcf343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f3e525b382f45e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AcLog Fit 現行版の回帰確認と過去実績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内蔵93d0facの従来結果と、管理者OTA 3b985c7の追補を併記。対象コードは各行の実測・証跡欄を参照。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141仕様／267 OS別予定。今回14仕様・28 OS別を追加。既知2問題は後続。単体／成果物検査を実機OKへ転記しない。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6" customHeight="1">
      <x:c r="A7" s="16" t="str">
        <x:v>分類</x:v>
      </x:c>
      <x:c r="B7" s="16" t="str">
        <x:v>仕様件数</x:v>
      </x:c>
      <x:c r="C7" s="16" t="str">
        <x:v>自動実機</x:v>
      </x:c>
      <x:c r="D7" s="16" t="str">
        <x:v>手動実機</x:v>
      </x:c>
      <x:c r="E7" s="16" t="str">
        <x:v>iOS対象</x:v>
      </x:c>
      <x:c r="F7" s="16" t="str">
        <x:v>iOS OK</x:v>
      </x:c>
      <x:c r="G7" s="16" t="str">
        <x:v>iOS NG</x:v>
      </x:c>
      <x:c r="H7" s="16" t="str">
        <x:v>iOS残り</x:v>
      </x:c>
      <x:c r="I7" s="16" t="str">
        <x:v>Android対象</x:v>
      </x:c>
      <x:c r="J7" s="16" t="str">
        <x:v>Android OK</x:v>
      </x:c>
      <x:c r="K7" s="16" t="str">
        <x:v>Android NG</x:v>
      </x:c>
      <x:c r="L7" s="16" t="str">
        <x:v>Android残り</x:v>
      </x:c>
    </x:row>
    <x:row r="8" ht="30" customHeight="1">
      <x:c r="A8" s="1" t="str">
        <x:v>01 自動記録・設定</x:v>
      </x:c>
      <x:c r="B8" s="22" t="n">
        <x:f>COUNTIFS('テストケース'!$B$8:$B$148,$A8)</x:f>
        <x:v>10</x:v>
      </x:c>
      <x:c r="C8" s="22" t="n">
        <x:f>COUNTIFS('テストケース'!$B$8:$B$148,$A8,'テストケース'!$F$8:$F$148,"自動実機テスト")</x:f>
        <x:v>9</x:v>
      </x:c>
      <x:c r="D8" s="22" t="n">
        <x:f>COUNTIFS('テストケース'!$B$8:$B$148,$A8,'テストケース'!$F$8:$F$148,"手動実機テスト")</x:f>
        <x:v>1</x:v>
      </x:c>
      <x:c r="E8" s="22" t="n">
        <x:f>COUNTIFS('テストケース'!$B$8:$B$148,$A8,'テストケース'!$G$8:$G$148,"&lt;&gt;Android")</x:f>
        <x:v>10</x:v>
      </x:c>
      <x:c r="F8" s="22" t="n">
        <x:f>COUNTIFS('テストケース'!$B$8:$B$148,$A8,'テストケース'!$L$8:$L$148,"OK")</x:f>
        <x:v>1</x:v>
      </x:c>
      <x:c r="G8" s="22" t="n">
        <x:f>COUNTIFS('テストケース'!$B$8:$B$148,$A8,'テストケース'!$L$8:$L$148,"NG")</x:f>
        <x:v>0</x:v>
      </x:c>
      <x:c r="H8" s="22" t="n">
        <x:f>E8-F8-G8</x:f>
        <x:v>9</x:v>
      </x:c>
      <x:c r="I8" s="22" t="n">
        <x:f>COUNTIFS('テストケース'!$B$8:$B$148,$A8,'テストケース'!$G$8:$G$148,"&lt;&gt;iOS")</x:f>
        <x:v>10</x:v>
      </x:c>
      <x:c r="J8" s="22" t="n">
        <x:f>COUNTIFS('テストケース'!$B$8:$B$148,$A8,'テストケース'!$M$8:$M$148,"OK")</x:f>
        <x:v>1</x:v>
      </x:c>
      <x:c r="K8" s="22" t="n">
        <x:f>COUNTIFS('テストケース'!$B$8:$B$148,$A8,'テストケース'!$M$8:$M$148,"NG")</x:f>
        <x:v>0</x:v>
      </x:c>
      <x:c r="L8" s="22" t="n">
        <x:f>I8-J8-K8</x:f>
        <x:v>9</x:v>
      </x:c>
    </x:row>
    <x:row r="9" ht="30" customHeight="1">
      <x:c r="A9" s="1" t="str">
        <x:v>02 保存・破棄・停止後復旧</x:v>
      </x:c>
      <x:c r="B9" s="22" t="n">
        <x:f>COUNTIFS('テストケース'!$B$8:$B$148,$A9)</x:f>
        <x:v>15</x:v>
      </x:c>
      <x:c r="C9" s="22" t="n">
        <x:f>COUNTIFS('テストケース'!$B$8:$B$148,$A9,'テストケース'!$F$8:$F$148,"自動実機テスト")</x:f>
        <x:v>8</x:v>
      </x:c>
      <x:c r="D9" s="22" t="n">
        <x:f>COUNTIFS('テストケース'!$B$8:$B$148,$A9,'テストケース'!$F$8:$F$148,"手動実機テスト")</x:f>
        <x:v>7</x:v>
      </x:c>
      <x:c r="E9" s="22" t="n">
        <x:f>COUNTIFS('テストケース'!$B$8:$B$148,$A9,'テストケース'!$G$8:$G$148,"&lt;&gt;Android")</x:f>
        <x:v>15</x:v>
      </x:c>
      <x:c r="F9" s="22" t="n">
        <x:f>COUNTIFS('テストケース'!$B$8:$B$148,$A9,'テストケース'!$L$8:$L$148,"OK")</x:f>
        <x:v>5</x:v>
      </x:c>
      <x:c r="G9" s="22" t="n">
        <x:f>COUNTIFS('テストケース'!$B$8:$B$148,$A9,'テストケース'!$L$8:$L$148,"NG")</x:f>
        <x:v>0</x:v>
      </x:c>
      <x:c r="H9" s="22" t="n">
        <x:f>E9-F9-G9</x:f>
        <x:v>10</x:v>
      </x:c>
      <x:c r="I9" s="22" t="n">
        <x:f>COUNTIFS('テストケース'!$B$8:$B$148,$A9,'テストケース'!$G$8:$G$148,"&lt;&gt;iOS")</x:f>
        <x:v>15</x:v>
      </x:c>
      <x:c r="J9" s="22" t="n">
        <x:f>COUNTIFS('テストケース'!$B$8:$B$148,$A9,'テストケース'!$M$8:$M$148,"OK")</x:f>
        <x:v>5</x:v>
      </x:c>
      <x:c r="K9" s="22" t="n">
        <x:f>COUNTIFS('テストケース'!$B$8:$B$148,$A9,'テストケース'!$M$8:$M$148,"NG")</x:f>
        <x:v>0</x:v>
      </x:c>
      <x:c r="L9" s="22" t="n">
        <x:f>I9-J9-K9</x:f>
        <x:v>10</x:v>
      </x:c>
    </x:row>
    <x:row r="10" ht="30" customHeight="1">
      <x:c r="A10" s="1" t="str">
        <x:v>03 バックグラウンド・再送</x:v>
      </x:c>
      <x:c r="B10" s="22" t="n">
        <x:f>COUNTIFS('テストケース'!$B$8:$B$148,$A10)</x:f>
        <x:v>10</x:v>
      </x:c>
      <x:c r="C10" s="22" t="n">
        <x:f>COUNTIFS('テストケース'!$B$8:$B$148,$A10,'テストケース'!$F$8:$F$148,"自動実機テスト")</x:f>
        <x:v>2</x:v>
      </x:c>
      <x:c r="D10" s="22" t="n">
        <x:f>COUNTIFS('テストケース'!$B$8:$B$148,$A10,'テストケース'!$F$8:$F$148,"手動実機テスト")</x:f>
        <x:v>8</x:v>
      </x:c>
      <x:c r="E10" s="22" t="n">
        <x:f>COUNTIFS('テストケース'!$B$8:$B$148,$A10,'テストケース'!$G$8:$G$148,"&lt;&gt;Android")</x:f>
        <x:v>7</x:v>
      </x:c>
      <x:c r="F10" s="22" t="n">
        <x:f>COUNTIFS('テストケース'!$B$8:$B$148,$A10,'テストケース'!$L$8:$L$148,"OK")</x:f>
        <x:v>0</x:v>
      </x:c>
      <x:c r="G10" s="22" t="n">
        <x:f>COUNTIFS('テストケース'!$B$8:$B$148,$A10,'テストケース'!$L$8:$L$148,"NG")</x:f>
        <x:v>0</x:v>
      </x:c>
      <x:c r="H10" s="22" t="n">
        <x:f>E10-F10-G10</x:f>
        <x:v>7</x:v>
      </x:c>
      <x:c r="I10" s="22" t="n">
        <x:f>COUNTIFS('テストケース'!$B$8:$B$148,$A10,'テストケース'!$G$8:$G$148,"&lt;&gt;iOS")</x:f>
        <x:v>9</x:v>
      </x:c>
      <x:c r="J10" s="22" t="n">
        <x:f>COUNTIFS('テストケース'!$B$8:$B$148,$A10,'テストケース'!$M$8:$M$148,"OK")</x:f>
        <x:v>0</x:v>
      </x:c>
      <x:c r="K10" s="22" t="n">
        <x:f>COUNTIFS('テストケース'!$B$8:$B$148,$A10,'テストケース'!$M$8:$M$148,"NG")</x:f>
        <x:v>0</x:v>
      </x:c>
      <x:c r="L10" s="22" t="n">
        <x:f>I10-J10-K10</x:f>
        <x:v>9</x:v>
      </x:c>
    </x:row>
    <x:row r="11" ht="30" customHeight="1">
      <x:c r="A11" s="1" t="str">
        <x:v>04 リアルタイム共有</x:v>
      </x:c>
      <x:c r="B11" s="22" t="n">
        <x:f>COUNTIFS('テストケース'!$B$8:$B$148,$A11)</x:f>
        <x:v>15</x:v>
      </x:c>
      <x:c r="C11" s="22" t="n">
        <x:f>COUNTIFS('テストケース'!$B$8:$B$148,$A11,'テストケース'!$F$8:$F$148,"自動実機テスト")</x:f>
        <x:v>8</x:v>
      </x:c>
      <x:c r="D11" s="22" t="n">
        <x:f>COUNTIFS('テストケース'!$B$8:$B$148,$A11,'テストケース'!$F$8:$F$148,"手動実機テスト")</x:f>
        <x:v>7</x:v>
      </x:c>
      <x:c r="E11" s="22" t="n">
        <x:f>COUNTIFS('テストケース'!$B$8:$B$148,$A11,'テストケース'!$G$8:$G$148,"&lt;&gt;Android")</x:f>
        <x:v>14</x:v>
      </x:c>
      <x:c r="F11" s="22" t="n">
        <x:f>COUNTIFS('テストケース'!$B$8:$B$148,$A11,'テストケース'!$L$8:$L$148,"OK")</x:f>
        <x:v>0</x:v>
      </x:c>
      <x:c r="G11" s="22" t="n">
        <x:f>COUNTIFS('テストケース'!$B$8:$B$148,$A11,'テストケース'!$L$8:$L$148,"NG")</x:f>
        <x:v>0</x:v>
      </x:c>
      <x:c r="H11" s="22" t="n">
        <x:f>E11-F11-G11</x:f>
        <x:v>14</x:v>
      </x:c>
      <x:c r="I11" s="22" t="n">
        <x:f>COUNTIFS('テストケース'!$B$8:$B$148,$A11,'テストケース'!$G$8:$G$148,"&lt;&gt;iOS")</x:f>
        <x:v>14</x:v>
      </x:c>
      <x:c r="J11" s="22" t="n">
        <x:f>COUNTIFS('テストケース'!$B$8:$B$148,$A11,'テストケース'!$M$8:$M$148,"OK")</x:f>
        <x:v>0</x:v>
      </x:c>
      <x:c r="K11" s="22" t="n">
        <x:f>COUNTIFS('テストケース'!$B$8:$B$148,$A11,'テストケース'!$M$8:$M$148,"NG")</x:f>
        <x:v>0</x:v>
      </x:c>
      <x:c r="L11" s="22" t="n">
        <x:f>I11-J11-K11</x:f>
        <x:v>14</x:v>
      </x:c>
    </x:row>
    <x:row r="12" ht="30" customHeight="1">
      <x:c r="A12" s="1" t="str">
        <x:v>05 履歴・地図・時刻</x:v>
      </x:c>
      <x:c r="B12" s="22" t="n">
        <x:f>COUNTIFS('テストケース'!$B$8:$B$148,$A12)</x:f>
        <x:v>10</x:v>
      </x:c>
      <x:c r="C12" s="22" t="n">
        <x:f>COUNTIFS('テストケース'!$B$8:$B$148,$A12,'テストケース'!$F$8:$F$148,"自動実機テスト")</x:f>
        <x:v>7</x:v>
      </x:c>
      <x:c r="D12" s="22" t="n">
        <x:f>COUNTIFS('テストケース'!$B$8:$B$148,$A12,'テストケース'!$F$8:$F$148,"手動実機テスト")</x:f>
        <x:v>3</x:v>
      </x:c>
      <x:c r="E12" s="22" t="n">
        <x:f>COUNTIFS('テストケース'!$B$8:$B$148,$A12,'テストケース'!$G$8:$G$148,"&lt;&gt;Android")</x:f>
        <x:v>10</x:v>
      </x:c>
      <x:c r="F12" s="22" t="n">
        <x:f>COUNTIFS('テストケース'!$B$8:$B$148,$A12,'テストケース'!$L$8:$L$148,"OK")</x:f>
        <x:v>1</x:v>
      </x:c>
      <x:c r="G12" s="22" t="n">
        <x:f>COUNTIFS('テストケース'!$B$8:$B$148,$A12,'テストケース'!$L$8:$L$148,"NG")</x:f>
        <x:v>0</x:v>
      </x:c>
      <x:c r="H12" s="22" t="n">
        <x:f>E12-F12-G12</x:f>
        <x:v>9</x:v>
      </x:c>
      <x:c r="I12" s="22" t="n">
        <x:f>COUNTIFS('テストケース'!$B$8:$B$148,$A12,'テストケース'!$G$8:$G$148,"&lt;&gt;iOS")</x:f>
        <x:v>10</x:v>
      </x:c>
      <x:c r="J12" s="22" t="n">
        <x:f>COUNTIFS('テストケース'!$B$8:$B$148,$A12,'テストケース'!$M$8:$M$148,"OK")</x:f>
        <x:v>2</x:v>
      </x:c>
      <x:c r="K12" s="22" t="n">
        <x:f>COUNTIFS('テストケース'!$B$8:$B$148,$A12,'テストケース'!$M$8:$M$148,"NG")</x:f>
        <x:v>0</x:v>
      </x:c>
      <x:c r="L12" s="22" t="n">
        <x:f>I12-J12-K12</x:f>
        <x:v>8</x:v>
      </x:c>
    </x:row>
    <x:row r="13" ht="30" customHeight="1">
      <x:c r="A13" s="1" t="str">
        <x:v>06 履歴共有・グループ権限</x:v>
      </x:c>
      <x:c r="B13" s="22" t="n">
        <x:f>COUNTIFS('テストケース'!$B$8:$B$148,$A13)</x:f>
        <x:v>11</x:v>
      </x:c>
      <x:c r="C13" s="22" t="n">
        <x:f>COUNTIFS('テストケース'!$B$8:$B$148,$A13,'テストケース'!$F$8:$F$148,"自動実機テスト")</x:f>
        <x:v>8</x:v>
      </x:c>
      <x:c r="D13" s="22" t="n">
        <x:f>COUNTIFS('テストケース'!$B$8:$B$148,$A13,'テストケース'!$F$8:$F$148,"手動実機テスト")</x:f>
        <x:v>3</x:v>
      </x:c>
      <x:c r="E13" s="22" t="n">
        <x:f>COUNTIFS('テストケース'!$B$8:$B$148,$A13,'テストケース'!$G$8:$G$148,"&lt;&gt;Android")</x:f>
        <x:v>11</x:v>
      </x:c>
      <x:c r="F13" s="22" t="n">
        <x:f>COUNTIFS('テストケース'!$B$8:$B$148,$A13,'テストケース'!$L$8:$L$148,"OK")</x:f>
        <x:v>0</x:v>
      </x:c>
      <x:c r="G13" s="22" t="n">
        <x:f>COUNTIFS('テストケース'!$B$8:$B$148,$A13,'テストケース'!$L$8:$L$148,"NG")</x:f>
        <x:v>0</x:v>
      </x:c>
      <x:c r="H13" s="22" t="n">
        <x:f>E13-F13-G13</x:f>
        <x:v>11</x:v>
      </x:c>
      <x:c r="I13" s="22" t="n">
        <x:f>COUNTIFS('テストケース'!$B$8:$B$148,$A13,'テストケース'!$G$8:$G$148,"&lt;&gt;iOS")</x:f>
        <x:v>11</x:v>
      </x:c>
      <x:c r="J13" s="22" t="n">
        <x:f>COUNTIFS('テストケース'!$B$8:$B$148,$A13,'テストケース'!$M$8:$M$148,"OK")</x:f>
        <x:v>0</x:v>
      </x:c>
      <x:c r="K13" s="22" t="n">
        <x:f>COUNTIFS('テストケース'!$B$8:$B$148,$A13,'テストケース'!$M$8:$M$148,"NG")</x:f>
        <x:v>0</x:v>
      </x:c>
      <x:c r="L13" s="22" t="n">
        <x:f>I13-J13-K13</x:f>
        <x:v>11</x:v>
      </x:c>
    </x:row>
    <x:row r="14" ht="30" customHeight="1">
      <x:c r="A14" s="1" t="str">
        <x:v>07 カレンダー・分析・ランキング</x:v>
      </x:c>
      <x:c r="B14" s="22" t="n">
        <x:f>COUNTIFS('テストケース'!$B$8:$B$148,$A14)</x:f>
        <x:v>8</x:v>
      </x:c>
      <x:c r="C14" s="22" t="n">
        <x:f>COUNTIFS('テストケース'!$B$8:$B$148,$A14,'テストケース'!$F$8:$F$148,"自動実機テスト")</x:f>
        <x:v>8</x:v>
      </x:c>
      <x:c r="D14" s="22" t="n">
        <x:f>COUNTIFS('テストケース'!$B$8:$B$148,$A14,'テストケース'!$F$8:$F$148,"手動実機テスト")</x:f>
        <x:v>0</x:v>
      </x:c>
      <x:c r="E14" s="22" t="n">
        <x:f>COUNTIFS('テストケース'!$B$8:$B$148,$A14,'テストケース'!$G$8:$G$148,"&lt;&gt;Android")</x:f>
        <x:v>8</x:v>
      </x:c>
      <x:c r="F14" s="22" t="n">
        <x:f>COUNTIFS('テストケース'!$B$8:$B$148,$A14,'テストケース'!$L$8:$L$148,"OK")</x:f>
        <x:v>0</x:v>
      </x:c>
      <x:c r="G14" s="22" t="n">
        <x:f>COUNTIFS('テストケース'!$B$8:$B$148,$A14,'テストケース'!$L$8:$L$148,"NG")</x:f>
        <x:v>0</x:v>
      </x:c>
      <x:c r="H14" s="22" t="n">
        <x:f>E14-F14-G14</x:f>
        <x:v>8</x:v>
      </x:c>
      <x:c r="I14" s="22" t="n">
        <x:f>COUNTIFS('テストケース'!$B$8:$B$148,$A14,'テストケース'!$G$8:$G$148,"&lt;&gt;iOS")</x:f>
        <x:v>8</x:v>
      </x:c>
      <x:c r="J14" s="22" t="n">
        <x:f>COUNTIFS('テストケース'!$B$8:$B$148,$A14,'テストケース'!$M$8:$M$148,"OK")</x:f>
        <x:v>0</x:v>
      </x:c>
      <x:c r="K14" s="22" t="n">
        <x:f>COUNTIFS('テストケース'!$B$8:$B$148,$A14,'テストケース'!$M$8:$M$148,"NG")</x:f>
        <x:v>0</x:v>
      </x:c>
      <x:c r="L14" s="22" t="n">
        <x:f>I14-J14-K14</x:f>
        <x:v>8</x:v>
      </x:c>
    </x:row>
    <x:row r="15" ht="30" customHeight="1">
      <x:c r="A15" s="1" t="str">
        <x:v>08 認証・ユーザー切替</x:v>
      </x:c>
      <x:c r="B15" s="22" t="n">
        <x:f>COUNTIFS('テストケース'!$B$8:$B$148,$A15)</x:f>
        <x:v>10</x:v>
      </x:c>
      <x:c r="C15" s="22" t="n">
        <x:f>COUNTIFS('テストケース'!$B$8:$B$148,$A15,'テストケース'!$F$8:$F$148,"自動実機テスト")</x:f>
        <x:v>4</x:v>
      </x:c>
      <x:c r="D15" s="22" t="n">
        <x:f>COUNTIFS('テストケース'!$B$8:$B$148,$A15,'テストケース'!$F$8:$F$148,"手動実機テスト")</x:f>
        <x:v>6</x:v>
      </x:c>
      <x:c r="E15" s="22" t="n">
        <x:f>COUNTIFS('テストケース'!$B$8:$B$148,$A15,'テストケース'!$G$8:$G$148,"&lt;&gt;Android")</x:f>
        <x:v>10</x:v>
      </x:c>
      <x:c r="F15" s="22" t="n">
        <x:f>COUNTIFS('テストケース'!$B$8:$B$148,$A15,'テストケース'!$L$8:$L$148,"OK")</x:f>
        <x:v>1</x:v>
      </x:c>
      <x:c r="G15" s="22" t="n">
        <x:f>COUNTIFS('テストケース'!$B$8:$B$148,$A15,'テストケース'!$L$8:$L$148,"NG")</x:f>
        <x:v>0</x:v>
      </x:c>
      <x:c r="H15" s="22" t="n">
        <x:f>E15-F15-G15</x:f>
        <x:v>9</x:v>
      </x:c>
      <x:c r="I15" s="22" t="n">
        <x:f>COUNTIFS('テストケース'!$B$8:$B$148,$A15,'テストケース'!$G$8:$G$148,"&lt;&gt;iOS")</x:f>
        <x:v>10</x:v>
      </x:c>
      <x:c r="J15" s="22" t="n">
        <x:f>COUNTIFS('テストケース'!$B$8:$B$148,$A15,'テストケース'!$M$8:$M$148,"OK")</x:f>
        <x:v>1</x:v>
      </x:c>
      <x:c r="K15" s="22" t="n">
        <x:f>COUNTIFS('テストケース'!$B$8:$B$148,$A15,'テストケース'!$M$8:$M$148,"NG")</x:f>
        <x:v>0</x:v>
      </x:c>
      <x:c r="L15" s="22" t="n">
        <x:f>I15-J15-K15</x:f>
        <x:v>9</x:v>
      </x:c>
    </x:row>
    <x:row r="16" ht="30" customHeight="1">
      <x:c r="A16" s="1" t="str">
        <x:v>09 プラン・課金</x:v>
      </x:c>
      <x:c r="B16" s="22" t="n">
        <x:f>COUNTIFS('テストケース'!$B$8:$B$148,$A16)</x:f>
        <x:v>8</x:v>
      </x:c>
      <x:c r="C16" s="22" t="n">
        <x:f>COUNTIFS('テストケース'!$B$8:$B$148,$A16,'テストケース'!$F$8:$F$148,"自動実機テスト")</x:f>
        <x:v>5</x:v>
      </x:c>
      <x:c r="D16" s="22" t="n">
        <x:f>COUNTIFS('テストケース'!$B$8:$B$148,$A16,'テストケース'!$F$8:$F$148,"手動実機テスト")</x:f>
        <x:v>3</x:v>
      </x:c>
      <x:c r="E16" s="22" t="n">
        <x:f>COUNTIFS('テストケース'!$B$8:$B$148,$A16,'テストケース'!$G$8:$G$148,"&lt;&gt;Android")</x:f>
        <x:v>8</x:v>
      </x:c>
      <x:c r="F16" s="22" t="n">
        <x:f>COUNTIFS('テストケース'!$B$8:$B$148,$A16,'テストケース'!$L$8:$L$148,"OK")</x:f>
        <x:v>0</x:v>
      </x:c>
      <x:c r="G16" s="22" t="n">
        <x:f>COUNTIFS('テストケース'!$B$8:$B$148,$A16,'テストケース'!$L$8:$L$148,"NG")</x:f>
        <x:v>0</x:v>
      </x:c>
      <x:c r="H16" s="22" t="n">
        <x:f>E16-F16-G16</x:f>
        <x:v>8</x:v>
      </x:c>
      <x:c r="I16" s="22" t="n">
        <x:f>COUNTIFS('テストケース'!$B$8:$B$148,$A16,'テストケース'!$G$8:$G$148,"&lt;&gt;iOS")</x:f>
        <x:v>8</x:v>
      </x:c>
      <x:c r="J16" s="22" t="n">
        <x:f>COUNTIFS('テストケース'!$B$8:$B$148,$A16,'テストケース'!$M$8:$M$148,"OK")</x:f>
        <x:v>0</x:v>
      </x:c>
      <x:c r="K16" s="22" t="n">
        <x:f>COUNTIFS('テストケース'!$B$8:$B$148,$A16,'テストケース'!$M$8:$M$148,"NG")</x:f>
        <x:v>0</x:v>
      </x:c>
      <x:c r="L16" s="22" t="n">
        <x:f>I16-J16-K16</x:f>
        <x:v>8</x:v>
      </x:c>
    </x:row>
    <x:row r="17" ht="30" customHeight="1">
      <x:c r="A17" s="1" t="str">
        <x:v>10 プロフィール・規約・退会</x:v>
      </x:c>
      <x:c r="B17" s="22" t="n">
        <x:f>COUNTIFS('テストケース'!$B$8:$B$148,$A17)</x:f>
        <x:v>8</x:v>
      </x:c>
      <x:c r="C17" s="22" t="n">
        <x:f>COUNTIFS('テストケース'!$B$8:$B$148,$A17,'テストケース'!$F$8:$F$148,"自動実機テスト")</x:f>
        <x:v>2</x:v>
      </x:c>
      <x:c r="D17" s="22" t="n">
        <x:f>COUNTIFS('テストケース'!$B$8:$B$148,$A17,'テストケース'!$F$8:$F$148,"手動実機テスト")</x:f>
        <x:v>6</x:v>
      </x:c>
      <x:c r="E17" s="22" t="n">
        <x:f>COUNTIFS('テストケース'!$B$8:$B$148,$A17,'テストケース'!$G$8:$G$148,"&lt;&gt;Android")</x:f>
        <x:v>8</x:v>
      </x:c>
      <x:c r="F17" s="22" t="n">
        <x:f>COUNTIFS('テストケース'!$B$8:$B$148,$A17,'テストケース'!$L$8:$L$148,"OK")</x:f>
        <x:v>0</x:v>
      </x:c>
      <x:c r="G17" s="22" t="n">
        <x:f>COUNTIFS('テストケース'!$B$8:$B$148,$A17,'テストケース'!$L$8:$L$148,"NG")</x:f>
        <x:v>0</x:v>
      </x:c>
      <x:c r="H17" s="22" t="n">
        <x:f>E17-F17-G17</x:f>
        <x:v>8</x:v>
      </x:c>
      <x:c r="I17" s="22" t="n">
        <x:f>COUNTIFS('テストケース'!$B$8:$B$148,$A17,'テストケース'!$G$8:$G$148,"&lt;&gt;iOS")</x:f>
        <x:v>8</x:v>
      </x:c>
      <x:c r="J17" s="22" t="n">
        <x:f>COUNTIFS('テストケース'!$B$8:$B$148,$A17,'テストケース'!$M$8:$M$148,"OK")</x:f>
        <x:v>0</x:v>
      </x:c>
      <x:c r="K17" s="22" t="n">
        <x:f>COUNTIFS('テストケース'!$B$8:$B$148,$A17,'テストケース'!$M$8:$M$148,"NG")</x:f>
        <x:v>0</x:v>
      </x:c>
      <x:c r="L17" s="22" t="n">
        <x:f>I17-J17-K17</x:f>
        <x:v>8</x:v>
      </x:c>
    </x:row>
    <x:row r="18" ht="30" customHeight="1">
      <x:c r="A18" s="1" t="str">
        <x:v>11 OS権限・端末条件</x:v>
      </x:c>
      <x:c r="B18" s="22" t="n">
        <x:f>COUNTIFS('テストケース'!$B$8:$B$148,$A18)</x:f>
        <x:v>7</x:v>
      </x:c>
      <x:c r="C18" s="22" t="n">
        <x:f>COUNTIFS('テストケース'!$B$8:$B$148,$A18,'テストケース'!$F$8:$F$148,"自動実機テスト")</x:f>
        <x:v>0</x:v>
      </x:c>
      <x:c r="D18" s="22" t="n">
        <x:f>COUNTIFS('テストケース'!$B$8:$B$148,$A18,'テストケース'!$F$8:$F$148,"手動実機テスト")</x:f>
        <x:v>7</x:v>
      </x:c>
      <x:c r="E18" s="22" t="n">
        <x:f>COUNTIFS('テストケース'!$B$8:$B$148,$A18,'テストケース'!$G$8:$G$148,"&lt;&gt;Android")</x:f>
        <x:v>4</x:v>
      </x:c>
      <x:c r="F18" s="22" t="n">
        <x:f>COUNTIFS('テストケース'!$B$8:$B$148,$A18,'テストケース'!$L$8:$L$148,"OK")</x:f>
        <x:v>0</x:v>
      </x:c>
      <x:c r="G18" s="22" t="n">
        <x:f>COUNTIFS('テストケース'!$B$8:$B$148,$A18,'テストケース'!$L$8:$L$148,"NG")</x:f>
        <x:v>0</x:v>
      </x:c>
      <x:c r="H18" s="22" t="n">
        <x:f>E18-F18-G18</x:f>
        <x:v>4</x:v>
      </x:c>
      <x:c r="I18" s="22" t="n">
        <x:f>COUNTIFS('テストケース'!$B$8:$B$148,$A18,'テストケース'!$G$8:$G$148,"&lt;&gt;iOS")</x:f>
        <x:v>5</x:v>
      </x:c>
      <x:c r="J18" s="22" t="n">
        <x:f>COUNTIFS('テストケース'!$B$8:$B$148,$A18,'テストケース'!$M$8:$M$148,"OK")</x:f>
        <x:v>0</x:v>
      </x:c>
      <x:c r="K18" s="22" t="n">
        <x:f>COUNTIFS('テストケース'!$B$8:$B$148,$A18,'テストケース'!$M$8:$M$148,"NG")</x:f>
        <x:v>0</x:v>
      </x:c>
      <x:c r="L18" s="22" t="n">
        <x:f>I18-J18-K18</x:f>
        <x:v>5</x:v>
      </x:c>
    </x:row>
    <x:row r="19" ht="30" customHeight="1">
      <x:c r="A19" s="1" t="str">
        <x:v>12 更新・旧版互換・出荷設定</x:v>
      </x:c>
      <x:c r="B19" s="22" t="n">
        <x:f>COUNTIFS('テストケース'!$B$8:$B$148,$A19)</x:f>
        <x:v>9</x:v>
      </x:c>
      <x:c r="C19" s="22" t="n">
        <x:f>COUNTIFS('テストケース'!$B$8:$B$148,$A19,'テストケース'!$F$8:$F$148,"自動実機テスト")</x:f>
        <x:v>3</x:v>
      </x:c>
      <x:c r="D19" s="22" t="n">
        <x:f>COUNTIFS('テストケース'!$B$8:$B$148,$A19,'テストケース'!$F$8:$F$148,"手動実機テスト")</x:f>
        <x:v>6</x:v>
      </x:c>
      <x:c r="E19" s="22" t="n">
        <x:f>COUNTIFS('テストケース'!$B$8:$B$148,$A19,'テストケース'!$G$8:$G$148,"&lt;&gt;Android")</x:f>
        <x:v>8</x:v>
      </x:c>
      <x:c r="F19" s="22" t="n">
        <x:f>COUNTIFS('テストケース'!$B$8:$B$148,$A19,'テストケース'!$L$8:$L$148,"OK")</x:f>
        <x:v>3</x:v>
      </x:c>
      <x:c r="G19" s="22" t="n">
        <x:f>COUNTIFS('テストケース'!$B$8:$B$148,$A19,'テストケース'!$L$8:$L$148,"NG")</x:f>
        <x:v>0</x:v>
      </x:c>
      <x:c r="H19" s="22" t="n">
        <x:f>E19-F19-G19</x:f>
        <x:v>5</x:v>
      </x:c>
      <x:c r="I19" s="22" t="n">
        <x:f>COUNTIFS('テストケース'!$B$8:$B$148,$A19,'テストケース'!$G$8:$G$148,"&lt;&gt;iOS")</x:f>
        <x:v>8</x:v>
      </x:c>
      <x:c r="J19" s="22" t="n">
        <x:f>COUNTIFS('テストケース'!$B$8:$B$148,$A19,'テストケース'!$M$8:$M$148,"OK")</x:f>
        <x:v>3</x:v>
      </x:c>
      <x:c r="K19" s="22" t="n">
        <x:f>COUNTIFS('テストケース'!$B$8:$B$148,$A19,'テストケース'!$M$8:$M$148,"NG")</x:f>
        <x:v>0</x:v>
      </x:c>
      <x:c r="L19" s="22" t="n">
        <x:f>I19-J19-K19</x:f>
        <x:v>5</x:v>
      </x:c>
    </x:row>
    <x:row r="20" ht="30" customHeight="1">
      <x:c r="A20" s="1" t="str">
        <x:v>13 位置揺れ・既知問題の再現</x:v>
      </x:c>
      <x:c r="B20" s="22" t="n">
        <x:f>COUNTIFS('テストケース'!$B$8:$B$148,$A20)</x:f>
        <x:v>6</x:v>
      </x:c>
      <x:c r="C20" s="22" t="n">
        <x:f>COUNTIFS('テストケース'!$B$8:$B$148,$A20,'テストケース'!$F$8:$F$148,"自動実機テスト")</x:f>
        <x:v>1</x:v>
      </x:c>
      <x:c r="D20" s="22" t="n">
        <x:f>COUNTIFS('テストケース'!$B$8:$B$148,$A20,'テストケース'!$F$8:$F$148,"手動実機テスト")</x:f>
        <x:v>5</x:v>
      </x:c>
      <x:c r="E20" s="22" t="n">
        <x:f>COUNTIFS('テストケース'!$B$8:$B$148,$A20,'テストケース'!$G$8:$G$148,"&lt;&gt;Android")</x:f>
        <x:v>5</x:v>
      </x:c>
      <x:c r="F20" s="22" t="n">
        <x:f>COUNTIFS('テストケース'!$B$8:$B$148,$A20,'テストケース'!$L$8:$L$148,"OK")</x:f>
        <x:v>0</x:v>
      </x:c>
      <x:c r="G20" s="22" t="n">
        <x:f>COUNTIFS('テストケース'!$B$8:$B$148,$A20,'テストケース'!$L$8:$L$148,"NG")</x:f>
        <x:v>0</x:v>
      </x:c>
      <x:c r="H20" s="22" t="n">
        <x:f>E20-F20-G20</x:f>
        <x:v>5</x:v>
      </x:c>
      <x:c r="I20" s="22" t="n">
        <x:f>COUNTIFS('テストケース'!$B$8:$B$148,$A20,'テストケース'!$G$8:$G$148,"&lt;&gt;iOS")</x:f>
        <x:v>5</x:v>
      </x:c>
      <x:c r="J20" s="22" t="n">
        <x:f>COUNTIFS('テストケース'!$B$8:$B$148,$A20,'テストケース'!$M$8:$M$148,"OK")</x:f>
        <x:v>0</x:v>
      </x:c>
      <x:c r="K20" s="22" t="n">
        <x:f>COUNTIFS('テストケース'!$B$8:$B$148,$A20,'テストケース'!$M$8:$M$148,"NG")</x:f>
        <x:v>0</x:v>
      </x:c>
      <x:c r="L20" s="22" t="n">
        <x:f>I20-J20-K20</x:f>
        <x:v>5</x:v>
      </x:c>
    </x:row>
    <x:row r="21" ht="30" customHeight="1">
      <x:c r="A21" s="1" t="str">
        <x:v>14 管理者・インストール版一覧</x:v>
      </x:c>
      <x:c r="B21" s="22" t="n">
        <x:f>COUNTIFS('テストケース'!$B$8:$B$148,$A21)</x:f>
        <x:v>14</x:v>
      </x:c>
      <x:c r="C21" s="22" t="n">
        <x:f>COUNTIFS('テストケース'!$B$8:$B$148,$A21,'テストケース'!$F$8:$F$148,"自動実機テスト")</x:f>
        <x:v>6</x:v>
      </x:c>
      <x:c r="D21" s="22" t="n">
        <x:f>COUNTIFS('テストケース'!$B$8:$B$148,$A21,'テストケース'!$F$8:$F$148,"手動実機テスト")</x:f>
        <x:v>8</x:v>
      </x:c>
      <x:c r="E21" s="22" t="n">
        <x:f>COUNTIFS('テストケース'!$B$8:$B$148,$A21,'テストケース'!$G$8:$G$148,"&lt;&gt;Android")</x:f>
        <x:v>14</x:v>
      </x:c>
      <x:c r="F21" s="22" t="n">
        <x:f>COUNTIFS('テストケース'!$B$8:$B$148,$A21,'テストケース'!$L$8:$L$148,"OK")</x:f>
        <x:v>8</x:v>
      </x:c>
      <x:c r="G21" s="22" t="n">
        <x:f>COUNTIFS('テストケース'!$B$8:$B$148,$A21,'テストケース'!$L$8:$L$148,"NG")</x:f>
        <x:v>0</x:v>
      </x:c>
      <x:c r="H21" s="22" t="n">
        <x:f>E21-F21-G21</x:f>
        <x:v>6</x:v>
      </x:c>
      <x:c r="I21" s="22" t="n">
        <x:f>COUNTIFS('テストケース'!$B$8:$B$148,$A21,'テストケース'!$G$8:$G$148,"&lt;&gt;iOS")</x:f>
        <x:v>14</x:v>
      </x:c>
      <x:c r="J21" s="22" t="n">
        <x:f>COUNTIFS('テストケース'!$B$8:$B$148,$A21,'テストケース'!$M$8:$M$148,"OK")</x:f>
        <x:v>2</x:v>
      </x:c>
      <x:c r="K21" s="22" t="n">
        <x:f>COUNTIFS('テストケース'!$B$8:$B$148,$A21,'テストケース'!$M$8:$M$148,"NG")</x:f>
        <x:v>0</x:v>
      </x:c>
      <x:c r="L21" s="22" t="n">
        <x:f>I21-J21-K21</x:f>
        <x:v>12</x:v>
      </x:c>
    </x:row>
    <x:row r="22">
      <x:c r="A22" s="18" t="str">
        <x:v>全体合計</x:v>
      </x:c>
      <x:c r="B22" s="23" t="n">
        <x:f>SUM(B8:B21)</x:f>
        <x:v>141</x:v>
      </x:c>
      <x:c r="C22" s="23" t="n">
        <x:f>SUM(C8:C21)</x:f>
        <x:v>71</x:v>
      </x:c>
      <x:c r="D22" s="23" t="n">
        <x:f>SUM(D8:D21)</x:f>
        <x:v>70</x:v>
      </x:c>
      <x:c r="E22" s="23" t="n">
        <x:f>SUM(E8:E21)</x:f>
        <x:v>132</x:v>
      </x:c>
      <x:c r="F22" s="23" t="n">
        <x:f>SUM(F8:F21)</x:f>
        <x:v>19</x:v>
      </x:c>
      <x:c r="G22" s="23" t="n">
        <x:f>SUM(G8:G21)</x:f>
        <x:v>0</x:v>
      </x:c>
      <x:c r="H22" s="23" t="n">
        <x:f>SUM(H8:H21)</x:f>
        <x:v>113</x:v>
      </x:c>
      <x:c r="I22" s="23" t="n">
        <x:f>SUM(I8:I21)</x:f>
        <x:v>135</x:v>
      </x:c>
      <x:c r="J22" s="23" t="n">
        <x:f>SUM(J8:J21)</x:f>
        <x:v>14</x:v>
      </x:c>
      <x:c r="K22" s="23" t="n">
        <x:f>SUM(K8:K21)</x:f>
        <x:v>0</x:v>
      </x:c>
      <x:c r="L22" s="23" t="n">
        <x:f>SUM(L8:L21)</x:f>
        <x:v>121</x:v>
      </x:c>
    </x:row>
    <x:row r="23">
      <x:c r="A23" s="1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1" t="str">
        <x:v>OS別の実施予定件数</x:v>
      </x:c>
      <x:c r="B24" s="20" t="n">
        <x:f>E22+I22</x:f>
        <x:v>267</x:v>
      </x:c>
      <x:c r="C24" s="20"/>
      <x:c r="D24" s="20" t="str">
        <x:v>実施完了（OK＋NG）</x:v>
      </x:c>
      <x:c r="E24" s="20"/>
      <x:c r="F24" s="20" t="n">
        <x:f>F22+G22+J22+K22</x:f>
        <x:v>33</x:v>
      </x:c>
      <x:c r="G24" s="20"/>
      <x:c r="H24" s="20" t="str">
        <x:v>実施率</x:v>
      </x:c>
      <x:c r="I24" s="19" t="n">
        <x:f>F24/B24</x:f>
        <x:v>0.12359550561797752</x:v>
      </x:c>
      <x:c r="J24" s="20"/>
      <x:c r="K24" s="20"/>
      <x:c r="L24" s="20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 t="str">
        <x:v>残り＝未実施・保留。OK／NGだけを実施完了として数える。既知問題の後続ケースも件数に含む。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 t="str">
        <x:v>管理者OTAの利用者報告を反映。Android詳細操作と通常版未送信キュー直接照合は未確認。既存127件の判定は変更しない。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 t="str">
        <x:v>優先度：P0＝記録・データ保持・権限の重要回帰、P1＝主要機能、P2＝補助機能、後続＝既知問題の再現検証。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 t="str">
        <x:v>保留＝現行版で一部確認のみ／前提未充足。未実施＝現行の当該手順の証跡なし。過去実績のないことを断定するものではない。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38" customHeight="1">
      <x:c r="A34" s="24" t="str">
        <x:v>確認範囲</x:v>
      </x:c>
      <x:c r="B34" s="24" t="str">
        <x:v>iOS件数</x:v>
      </x:c>
      <x:c r="C34" s="24" t="str">
        <x:v>Android件数</x:v>
      </x:c>
      <x:c r="D34" s="24" t="str">
        <x:v>扱い</x:v>
      </x:c>
      <x:c r="E34" s="1"/>
      <x:c r="F34" s="1"/>
      <x:c r="G34" s="1"/>
      <x:c r="H34" s="1"/>
      <x:c r="I34" s="1"/>
      <x:c r="J34" s="1"/>
      <x:c r="K34" s="1"/>
      <x:c r="L34" s="1"/>
    </x:row>
    <x:row r="35" ht="27" customHeight="1">
      <x:c r="A35" s="1" t="str">
        <x:v>現行OK</x:v>
      </x:c>
      <x:c r="B35" s="1" t="n">
        <x:f>COUNTIFS('テストケース'!$S$8:$S$148,A35)</x:f>
        <x:v>19</x:v>
      </x:c>
      <x:c r="C35" s="1" t="n">
        <x:f>COUNTIFS('テストケース'!$T$8:$T$148,A35)</x:f>
        <x:v>14</x:v>
      </x:c>
      <x:c r="D35" s="1" t="str">
        <x:v>現行の全条件合格</x:v>
      </x:c>
      <x:c r="E35" s="1"/>
      <x:c r="F35" s="1"/>
      <x:c r="G35" s="1"/>
      <x:c r="H35" s="1"/>
      <x:c r="I35" s="1"/>
      <x:c r="J35" s="1"/>
      <x:c r="K35" s="1"/>
      <x:c r="L35" s="1"/>
    </x:row>
    <x:row r="36" ht="27" customHeight="1">
      <x:c r="A36" s="1" t="str">
        <x:v>現行部分確認</x:v>
      </x:c>
      <x:c r="B36" s="1" t="n">
        <x:f>COUNTIFS('テストケース'!$S$8:$S$148,A36)</x:f>
        <x:v>9</x:v>
      </x:c>
      <x:c r="C36" s="1" t="n">
        <x:f>COUNTIFS('テストケース'!$T$8:$T$148,A36)</x:f>
        <x:v>9</x:v>
      </x:c>
      <x:c r="D36" s="1" t="str">
        <x:v>不足を明記・保留</x:v>
      </x:c>
      <x:c r="E36" s="1"/>
      <x:c r="F36" s="1"/>
      <x:c r="G36" s="1"/>
      <x:c r="H36" s="1"/>
      <x:c r="I36" s="1"/>
      <x:c r="J36" s="1"/>
      <x:c r="K36" s="1"/>
      <x:c r="L36" s="1"/>
    </x:row>
    <x:row r="37" ht="27" customHeight="1">
      <x:c r="A37" s="1" t="str">
        <x:v>旧版/検証版のみ</x:v>
      </x:c>
      <x:c r="B37" s="1" t="n">
        <x:f>COUNTIFS('テストケース'!$S$8:$S$148,A37)</x:f>
        <x:v>15</x:v>
      </x:c>
      <x:c r="C37" s="1" t="n">
        <x:f>COUNTIFS('テストケース'!$T$8:$T$148,A37)</x:f>
        <x:v>30</x:v>
      </x:c>
      <x:c r="D37" s="1" t="str">
        <x:v>参考。現行OKへ転記しない</x:v>
      </x:c>
      <x:c r="E37" s="1"/>
      <x:c r="F37" s="1"/>
      <x:c r="G37" s="1"/>
      <x:c r="H37" s="1"/>
      <x:c r="I37" s="1"/>
      <x:c r="J37" s="1"/>
      <x:c r="K37" s="1"/>
      <x:c r="L37" s="1"/>
    </x:row>
    <x:row r="38" ht="27" customHeight="1">
      <x:c r="A38" s="1" t="str">
        <x:v>API/ローカルのみ</x:v>
      </x:c>
      <x:c r="B38" s="1" t="n">
        <x:f>COUNTIFS('テストケース'!$S$8:$S$148,A38)</x:f>
        <x:v>33</x:v>
      </x:c>
      <x:c r="C38" s="1" t="n">
        <x:f>COUNTIFS('テストケース'!$T$8:$T$148,A38)</x:f>
        <x:v>27</x:v>
      </x:c>
      <x:c r="D38" s="1" t="str">
        <x:v>実機とは別証拠</x:v>
      </x:c>
      <x:c r="E38" s="1"/>
      <x:c r="F38" s="1"/>
      <x:c r="G38" s="1"/>
      <x:c r="H38" s="1"/>
      <x:c r="I38" s="1"/>
      <x:c r="J38" s="1"/>
      <x:c r="K38" s="1"/>
      <x:c r="L38" s="1"/>
    </x:row>
    <x:row r="39" ht="27" customHeight="1">
      <x:c r="A39" s="1" t="str">
        <x:v>未確認</x:v>
      </x:c>
      <x:c r="B39" s="1" t="n">
        <x:f>COUNTIFS('テストケース'!$S$8:$S$148,A39)</x:f>
        <x:v>56</x:v>
      </x:c>
      <x:c r="C39" s="1" t="n">
        <x:f>COUNTIFS('テストケース'!$T$8:$T$148,A39)</x:f>
        <x:v>55</x:v>
      </x:c>
      <x:c r="D39" s="1" t="str">
        <x:v>証跡未特定</x:v>
      </x:c>
      <x:c r="E39" s="1"/>
      <x:c r="F39" s="1"/>
      <x:c r="G39" s="1"/>
      <x:c r="H39" s="1"/>
      <x:c r="I39" s="1"/>
      <x:c r="J39" s="1"/>
      <x:c r="K39" s="1"/>
      <x:c r="L39" s="1"/>
    </x:row>
    <x:row r="40" ht="27" customHeight="1">
      <x:c r="A40" s="1" t="str">
        <x:v>非対象</x:v>
      </x:c>
      <x:c r="B40" s="1" t="n">
        <x:f>COUNTIFS('テストケース'!$S$8:$S$148,A40)</x:f>
        <x:v>9</x:v>
      </x:c>
      <x:c r="C40" s="1" t="n">
        <x:f>COUNTIFS('テストケース'!$T$8:$T$148,A40)</x:f>
        <x:v>6</x:v>
      </x:c>
      <x:c r="D40" s="1" t="str">
        <x:v>OS非対応</x:v>
      </x:c>
      <x:c r="E40" s="1"/>
      <x:c r="F40" s="1"/>
      <x:c r="G40" s="1"/>
      <x:c r="H40" s="1"/>
      <x:c r="I40" s="1"/>
      <x:c r="J40" s="1"/>
      <x:c r="K40" s="1"/>
      <x:c r="L40" s="1"/>
    </x:row>
    <x:row r="42">
      <x:c r="A42" t="str">
        <x:v>公開前の必須残テスト案</x:v>
      </x:c>
      <x:c r="B42" t="n">
        <x:v>7</x:v>
      </x:c>
      <x:c r="D42" t="str">
        <x:v>7シナリオ。判定単位のケース数239とは別。関連Noの部分再確認も含む。</x:v>
      </x:c>
    </x:row>
    <x:row r="44">
      <x:c r="A44" t="str">
        <x:v>提出済み。自動公開設定は変更していない。G1〜G7は今回のリスク評価による公開前の追加最小確認案。実行・審査取消はしていない。</x:v>
      </x:c>
    </x:row>
    <x:row r="46">
      <x:c r="A46" t="str">
        <x:v>今回のOTA追加はG1〜G7全体の完了を示さない。通常版の非ゼロ未送信と既知2問題など既受容の制限は継続。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27" hidden="0" customWidth="1"/>
    <x:col min="3" max="3" width="16" hidden="0" customWidth="1"/>
    <x:col min="4" max="4" width="32" hidden="0" customWidth="1"/>
    <x:col min="5" max="5" width="57" hidden="0" customWidth="1"/>
    <x:col min="6" max="6" width="25" hidden="0" customWidth="1"/>
    <x:col min="7" max="7" width="12" hidden="0" customWidth="1"/>
    <x:col min="8" max="8" width="10" hidden="0" customWidth="1"/>
    <x:col min="9" max="9" width="36" hidden="0" customWidth="1"/>
    <x:col min="10" max="10" width="56" hidden="0" customWidth="1"/>
    <x:col min="11" max="11" width="42" hidden="0" customWidth="1"/>
    <x:col min="12" max="12" width="17" hidden="0" customWidth="1"/>
    <x:col min="13" max="13" width="19" hidden="0" customWidth="1"/>
    <x:col min="14" max="14" width="31" hidden="0" customWidth="1"/>
    <x:col min="15" max="15" width="31" hidden="0" customWidth="1"/>
    <x:col min="16" max="16" width="28" hidden="0" customWidth="1"/>
    <x:col min="17" max="17" width="43" hidden="0" customWidth="1"/>
    <x:col min="18" max="18" width="35" hidden="0" customWidth="1"/>
    <x:col min="19" max="19" width="23" hidden="0" customWidth="1"/>
    <x:col min="20" max="20" width="23" hidden="0" customWidth="1"/>
    <x:col min="21" max="21" width="62" hidden="0" customWidth="1"/>
    <x:col min="22" max="22" width="62" hidden="0" customWidth="1"/>
    <x:col min="23" max="23" width="29" hidden="0" customWidth="1"/>
    <x:col min="24" max="24" width="50" hidden="0" customWidth="1"/>
    <x:col min="25" max="25" width="19" hidden="0" customWidth="1"/>
    <x:col min="26" max="26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0" customHeight="1">
      <x:c r="A2" s="2" t="str">
        <x:v>AcLog Fit リグレッションテストケース仕様書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 t="str">
        <x:v>既存No1〜127は内蔵93d0fac等の従来証跡を保持。No128〜141は管理者OTA 3b985c7の結果。版番号だけで同一コードと判断しない。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自動／手動はテストの実施設計。過去の実施方式は実測欄・証跡台帳を参照。自動ドライバー実行済みとはしない。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38" customHeight="1">
      <x:c r="A7" s="24" t="str">
        <x:v>No</x:v>
      </x:c>
      <x:c r="B7" s="24" t="str">
        <x:v>分類</x:v>
      </x:c>
      <x:c r="C7" s="24" t="str">
        <x:v>確認機能</x:v>
      </x:c>
      <x:c r="D7" s="24" t="str">
        <x:v>テスト項目</x:v>
      </x:c>
      <x:c r="E7" s="24" t="str">
        <x:v>想定結果</x:v>
      </x:c>
      <x:c r="F7" s="24" t="str">
        <x:v>自動実機テストor手動実機テスト</x:v>
      </x:c>
      <x:c r="G7" s="24" t="str">
        <x:v>OS区分</x:v>
      </x:c>
      <x:c r="H7" s="24" t="str">
        <x:v>優先度</x:v>
      </x:c>
      <x:c r="I7" s="24" t="str">
        <x:v>前提条件</x:v>
      </x:c>
      <x:c r="J7" s="24" t="str">
        <x:v>操作手順</x:v>
      </x:c>
      <x:c r="K7" s="24" t="str">
        <x:v>OS差異・注意点</x:v>
      </x:c>
      <x:c r="L7" s="24" t="str">
        <x:v>iOS12 評価（対象OTAは実測欄）</x:v>
      </x:c>
      <x:c r="M7" s="24" t="str">
        <x:v>Android27 評価（対象OTAは実測欄）</x:v>
      </x:c>
      <x:c r="N7" s="24" t="str">
        <x:v>iOS 実測・実施日・担当</x:v>
      </x:c>
      <x:c r="O7" s="24" t="str">
        <x:v>Android 実測・実施日・担当</x:v>
      </x:c>
      <x:c r="P7" s="24" t="str">
        <x:v>証跡・不具合ID</x:v>
      </x:c>
      <x:c r="Q7" s="24" t="str">
        <x:v>自動化／観測方法</x:v>
      </x:c>
      <x:c r="R7" s="24" t="str">
        <x:v>補足</x:v>
      </x:c>
      <x:c r="S7" s="24" t="str">
        <x:v>iOS 現行確認区分</x:v>
      </x:c>
      <x:c r="T7" s="24" t="str">
        <x:v>Android 現行確認区分</x:v>
      </x:c>
      <x:c r="U7" s="24" t="str">
        <x:v>過去のiOS結果・対象ビルド</x:v>
      </x:c>
      <x:c r="V7" s="24" t="str">
        <x:v>過去のAndroid結果・対象ビルド</x:v>
      </x:c>
      <x:c r="W7" s="24" t="str">
        <x:v>出荷前の扱い</x:v>
      </x:c>
      <x:c r="X7" s="24" t="str">
        <x:v>必要な残確認・判断</x:v>
      </x:c>
      <x:c r="Y7" s="24" t="str">
        <x:v>自動化優先度</x:v>
      </x:c>
      <x:c r="Z7" s="24" t="str">
        <x:v>自動化の具体案</x:v>
      </x:c>
    </x:row>
    <x:row r="8" ht="105" customHeight="1">
      <x:c r="A8" s="9" t="n">
        <x:v>1</x:v>
      </x:c>
      <x:c r="B8" s="10" t="str">
        <x:v>01 自動記録・設定</x:v>
      </x:c>
      <x:c r="C8" s="10" t="str">
        <x:v>開始</x:v>
      </x:c>
      <x:c r="D8" s="10" t="str">
        <x:v>共有先なしで記録開始</x:v>
      </x:c>
      <x:c r="E8" s="10" t="str">
        <x:v>停止中から記録中へ遷移し、開始時刻・経過時間が進む。新しい記録IDは1件だけ作られる。</x:v>
      </x:c>
      <x:c r="F8" s="10" t="str">
        <x:v>自動実機テスト</x:v>
      </x:c>
      <x:c r="G8" s="11" t="str">
        <x:v>共通</x:v>
      </x:c>
      <x:c r="H8" s="11" t="str">
        <x:v>P0</x:v>
      </x:c>
      <x:c r="I8" s="10" t="str">
        <x:v>標準環境S1</x:v>
      </x:c>
      <x:c r="J8" s="10" t="str">
        <x:v>共有先を空にする。開始を1回押し、60秒待つ。</x:v>
      </x:c>
      <x:c r="K8" s="10" t="str">
        <x:v>同じ操作を両OSで個別に実施</x:v>
      </x:c>
      <x:c r="L8" s="29" t="str">
        <x:v>OK</x:v>
      </x:c>
      <x:c r="M8" s="29" t="str">
        <x:v>OK</x:v>
      </x:c>
      <x:c r="N8" s="30" t="str">
        <x:v>対象：1.0.5(12)／証跡照合日2026-10-26。実施：利用者操作＋ログ/クラウド照合。1.0.5(12)で共有先なしの開始・停止保存を確認。新規記録1件、重複0。</x:v>
      </x:c>
      <x:c r="O8" s="30" t="str">
        <x:v>対象：1.0.5(27)／証跡照合日2026-10-26。実施：利用者操作＋ログ/クラウド照合。1.0.5(27)で共有先なしの開始・停止保存を確認。新規記録1件、重複0。</x:v>
      </x:c>
      <x:c r="P8" s="30" t="str">
        <x:v>E01 / E02 / E07</x:v>
      </x:c>
      <x:c r="Q8" s="4" t="str">
        <x:v>実機UI操作＋読取API／端末ログ照合。専用ドライバー整備後に実施。</x:v>
      </x:c>
      <x:c r="R8" s="4" t="str">
        <x:v>評価は対象の現行ビルドだけ。旧版/検証版結果を現行OKへ繰り上げない。</x:v>
      </x:c>
      <x:c r="S8" s="4" t="str">
        <x:v>現行OK</x:v>
      </x:c>
      <x:c r="T8" s="4" t="str">
        <x:v>現行OK</x:v>
      </x:c>
      <x:c r="U8" s="4" t="str">
        <x:v>該当する過去の実機証跡を今回特定できず。未実施と断定せず未確認。</x:v>
      </x:c>
      <x:c r="V8" s="4" t="str">
        <x:v>検証104／2026-10-24：保存・破棄・上限後の名前入力再表示・保存後再開を実機/API確認。現行27で同じシナリオを再実施したものではない。 [E07]</x:v>
      </x:c>
      <x:c r="W8" s="4" t="str">
        <x:v>現行確認済み</x:v>
      </x:c>
      <x:c r="X8" s="4" t="str">
        <x:v>同じ成果物・OTA・本番差分が不変なら無目的に再実施しない。</x:v>
      </x:c>
      <x:c r="Y8" s="4" t="str">
        <x:v>A2 次優先</x:v>
      </x:c>
      <x:c r="Z8" s="4" t="str">
        <x:v>安定した実機UIドライバーとfixtureを整備し、対象OSの評価欄へ証跡付きで記録。</x:v>
      </x:c>
    </x:row>
    <x:row r="9" ht="105" customHeight="1">
      <x:c r="A9" s="6" t="n">
        <x:v>2</x:v>
      </x:c>
      <x:c r="B9" s="4" t="str">
        <x:v>01 自動記録・設定</x:v>
      </x:c>
      <x:c r="C9" s="4" t="str">
        <x:v>開始</x:v>
      </x:c>
      <x:c r="D9" s="4" t="str">
        <x:v>開始ボタンの連打</x:v>
      </x:c>
      <x:c r="E9" s="4" t="str">
        <x:v>セッション・位置取得タスクが二重作成されない。</x:v>
      </x:c>
      <x:c r="F9" s="4" t="str">
        <x:v>自動実機テスト</x:v>
      </x:c>
      <x:c r="G9" s="7" t="str">
        <x:v>共通</x:v>
      </x:c>
      <x:c r="H9" s="7" t="str">
        <x:v>P0</x:v>
      </x:c>
      <x:c r="I9" s="4" t="str">
        <x:v>標準環境S1</x:v>
      </x:c>
      <x:c r="J9" s="4" t="str">
        <x:v>開始を短時間に複数回押す。</x:v>
      </x:c>
      <x:c r="K9" s="4" t="str">
        <x:v>同じ操作を両OSで個別に実施</x:v>
      </x:c>
      <x:c r="L9" s="29" t="str">
        <x:v>未実施</x:v>
      </x:c>
      <x:c r="M9" s="29" t="str">
        <x:v>未実施</x:v>
      </x:c>
      <x:c r="N9" s="30" t="str">
        <x:v>現行ビルドで当該手順の実施証跡なし。過去結果と参考試験は右欄。</x:v>
      </x:c>
      <x:c r="O9" s="30" t="str">
        <x:v>現行ビルドで当該手順の実施証跡なし。過去結果と参考試験は右欄。</x:v>
      </x:c>
      <x:c r="P9" s="30" t="str">
        <x:v>E11 / E20</x:v>
      </x:c>
      <x:c r="Q9" s="4" t="str">
        <x:v>実機UI操作＋読取API／端末ログ照合。専用ドライバー整備後に実施。</x:v>
      </x:c>
      <x:c r="R9" s="4" t="str">
        <x:v>ローカル80TS＋実SQLite12：冪等性・受信箱・停止復旧・再送／破棄を検証。現行実機の同条件試験ではない。 [E11,E20]</x:v>
      </x:c>
      <x:c r="S9" s="4" t="str">
        <x:v>API/ローカルのみ</x:v>
      </x:c>
      <x:c r="T9" s="4" t="str">
        <x:v>API/ローカルのみ</x:v>
      </x:c>
      <x:c r="U9" s="4" t="str">
        <x:v>該当する過去の実機証跡を今回特定できず。未実施と断定せず未確認。</x:v>
      </x:c>
      <x:c r="V9" s="4" t="str">
        <x:v>該当する過去の実機証跡を今回特定できず。未実施と断定せず未確認。</x:v>
      </x:c>
      <x:c r="W9" s="4" t="str">
        <x:v>変更/障害時に追試</x:v>
      </x:c>
      <x:c r="X9" s="4" t="str">
        <x:v>未確認の全件を必須にはしない。変更範囲・重大度・障害発生に応じて選択。</x:v>
      </x:c>
      <x:c r="Y9" s="4" t="str">
        <x:v>A1 最優先</x:v>
      </x:c>
      <x:c r="Z9" s="4" t="str">
        <x:v>専用セッションでUI＋キュー件数/内容・クラウド/索引/集計を前後照合。遅延・応答喪失を隔離注入。</x:v>
      </x:c>
    </x:row>
    <x:row r="10" ht="105" customHeight="1">
      <x:c r="A10" s="6" t="n">
        <x:v>3</x:v>
      </x:c>
      <x:c r="B10" s="4" t="str">
        <x:v>01 自動記録・設定</x:v>
      </x:c>
      <x:c r="C10" s="4" t="str">
        <x:v>設定</x:v>
      </x:c>
      <x:c r="D10" s="4" t="str">
        <x:v>記録間隔の設定と再表示</x:v>
      </x:c>
      <x:c r="E10" s="4" t="str">
        <x:v>選択値が保持され、別設定へ勝手に変わらない。位置取得周期と保存条件は分けてログで確認する。</x:v>
      </x:c>
      <x:c r="F10" s="4" t="str">
        <x:v>自動実機テスト</x:v>
      </x:c>
      <x:c r="G10" s="7" t="str">
        <x:v>共通</x:v>
      </x:c>
      <x:c r="H10" s="7" t="str">
        <x:v>P1</x:v>
      </x:c>
      <x:c r="I10" s="4" t="str">
        <x:v>標準環境S1</x:v>
      </x:c>
      <x:c r="J10" s="4" t="str">
        <x:v>利用可能な30秒・1分・3分・5分を選び、画面を開き直す。</x:v>
      </x:c>
      <x:c r="K10" s="4" t="str">
        <x:v>同じ操作を両OSで個別に実施</x:v>
      </x:c>
      <x:c r="L10" s="29" t="str">
        <x:v>未実施</x:v>
      </x:c>
      <x:c r="M10" s="29" t="str">
        <x:v>未実施</x:v>
      </x:c>
      <x:c r="N10" s="30" t="str">
        <x:v>現行ビルドで当該手順の実施証跡なし。過去結果と参考試験は右欄。</x:v>
      </x:c>
      <x:c r="O10" s="30" t="str">
        <x:v>現行ビルドで当該手順の実施証跡なし。過去結果と参考試験は右欄。</x:v>
      </x:c>
      <x:c r="P10" s="30" t="str">
        <x:v>未採番：該当証跡未特定</x:v>
      </x:c>
      <x:c r="Q10" s="4" t="str">
        <x:v>実機UI操作＋読取API／端末ログ照合。専用ドライバー整備後に実施。</x:v>
      </x:c>
      <x:c r="R10" s="4" t="str">
        <x:v>評価は対象の現行ビルドだけ。旧版/検証版結果を現行OKへ繰り上げない。</x:v>
      </x:c>
      <x:c r="S10" s="4" t="str">
        <x:v>未確認</x:v>
      </x:c>
      <x:c r="T10" s="4" t="str">
        <x:v>未確認</x:v>
      </x:c>
      <x:c r="U10" s="4" t="str">
        <x:v>該当する過去の実機証跡を今回特定できず。未実施と断定せず未確認。</x:v>
      </x:c>
      <x:c r="V10" s="4" t="str">
        <x:v>該当する過去の実機証跡を今回特定できず。未実施と断定せず未確認。</x:v>
      </x:c>
      <x:c r="W10" s="4" t="str">
        <x:v>通常回帰・未確認</x:v>
      </x:c>
      <x:c r="X10" s="4" t="str">
        <x:v>未確認の全件を必須にはしない。変更範囲・重大度・障害発生に応じて選択。</x:v>
      </x:c>
      <x:c r="Y10" s="4" t="str">
        <x:v>A2 次優先</x:v>
      </x:c>
      <x:c r="Z10" s="4" t="str">
        <x:v>安定した実機UIドライバーとfixtureを整備し、対象OSの評価欄へ証跡付きで記録。</x:v>
      </x:c>
    </x:row>
    <x:row r="11" ht="105" customHeight="1">
      <x:c r="A11" s="6" t="n">
        <x:v>4</x:v>
      </x:c>
      <x:c r="B11" s="4" t="str">
        <x:v>01 自動記録・設定</x:v>
      </x:c>
      <x:c r="C11" s="4" t="str">
        <x:v>設定</x:v>
      </x:c>
      <x:c r="D11" s="4" t="str">
        <x:v>移動距離の設定と再表示</x:v>
      </x:c>
      <x:c r="E11" s="4" t="str">
        <x:v>選択値が保持され、保存処理へ同じ設定が渡る。</x:v>
      </x:c>
      <x:c r="F11" s="4" t="str">
        <x:v>自動実機テスト</x:v>
      </x:c>
      <x:c r="G11" s="7" t="str">
        <x:v>共通</x:v>
      </x:c>
      <x:c r="H11" s="7" t="str">
        <x:v>P1</x:v>
      </x:c>
      <x:c r="I11" s="4" t="str">
        <x:v>標準環境S1</x:v>
      </x:c>
      <x:c r="J11" s="4" t="str">
        <x:v>利用可能な50m・100mを選び、画面を開き直す。</x:v>
      </x:c>
      <x:c r="K11" s="4" t="str">
        <x:v>同じ操作を両OSで個別に実施</x:v>
      </x:c>
      <x:c r="L11" s="29" t="str">
        <x:v>未実施</x:v>
      </x:c>
      <x:c r="M11" s="29" t="str">
        <x:v>未実施</x:v>
      </x:c>
      <x:c r="N11" s="30" t="str">
        <x:v>現行ビルドで当該手順の実施証跡なし。過去結果と参考試験は右欄。</x:v>
      </x:c>
      <x:c r="O11" s="30" t="str">
        <x:v>現行ビルドで当該手順の実施証跡なし。過去結果と参考試験は右欄。</x:v>
      </x:c>
      <x:c r="P11" s="30" t="str">
        <x:v>未採番：該当証跡未特定</x:v>
      </x:c>
      <x:c r="Q11" s="4" t="str">
        <x:v>実機UI操作＋読取API／端末ログ照合。専用ドライバー整備後に実施。</x:v>
      </x:c>
      <x:c r="R11" s="4" t="str">
        <x:v>評価は対象の現行ビルドだけ。旧版/検証版結果を現行OKへ繰り上げない。</x:v>
      </x:c>
      <x:c r="S11" s="4" t="str">
        <x:v>未確認</x:v>
      </x:c>
      <x:c r="T11" s="4" t="str">
        <x:v>未確認</x:v>
      </x:c>
      <x:c r="U11" s="4" t="str">
        <x:v>該当する過去の実機証跡を今回特定できず。未実施と断定せず未確認。</x:v>
      </x:c>
      <x:c r="V11" s="4" t="str">
        <x:v>該当する過去の実機証跡を今回特定できず。未実施と断定せず未確認。</x:v>
      </x:c>
      <x:c r="W11" s="4" t="str">
        <x:v>通常回帰・未確認</x:v>
      </x:c>
      <x:c r="X11" s="4" t="str">
        <x:v>未確認の全件を必須にはしない。変更範囲・重大度・障害発生に応じて選択。</x:v>
      </x:c>
      <x:c r="Y11" s="4" t="str">
        <x:v>A2 次優先</x:v>
      </x:c>
      <x:c r="Z11" s="4" t="str">
        <x:v>安定した実機UIドライバーとfixtureを整備し、対象OSの評価欄へ証跡付きで記録。</x:v>
      </x:c>
    </x:row>
    <x:row r="12" ht="105" customHeight="1">
      <x:c r="A12" s="6" t="n">
        <x:v>5</x:v>
      </x:c>
      <x:c r="B12" s="4" t="str">
        <x:v>01 自動記録・設定</x:v>
      </x:c>
      <x:c r="C12" s="4" t="str">
        <x:v>状態</x:v>
      </x:c>
      <x:c r="D12" s="4" t="str">
        <x:v>記録中の画面往復</x:v>
      </x:c>
      <x:c r="E12" s="4" t="str">
        <x:v>記録ID・開始時刻を維持し、経過時間が戻らず、記録が継続する。</x:v>
      </x:c>
      <x:c r="F12" s="4" t="str">
        <x:v>自動実機テスト</x:v>
      </x:c>
      <x:c r="G12" s="7" t="str">
        <x:v>共通</x:v>
      </x:c>
      <x:c r="H12" s="7" t="str">
        <x:v>P0</x:v>
      </x:c>
      <x:c r="I12" s="4" t="str">
        <x:v>標準環境S1</x:v>
      </x:c>
      <x:c r="J12" s="4" t="str">
        <x:v>記録中に履歴を開き、ホームへ戻る。</x:v>
      </x:c>
      <x:c r="K12" s="4" t="str">
        <x:v>同じ操作を両OSで個別に実施</x:v>
      </x:c>
      <x:c r="L12" s="29" t="str">
        <x:v>未実施</x:v>
      </x:c>
      <x:c r="M12" s="29" t="str">
        <x:v>未実施</x:v>
      </x:c>
      <x:c r="N12" s="30" t="str">
        <x:v>現行ビルドで当該手順の実施証跡なし。過去結果と参考試験は右欄。</x:v>
      </x:c>
      <x:c r="O12" s="30" t="str">
        <x:v>現行ビルドで当該手順の実施証跡なし。過去結果と参考試験は右欄。</x:v>
      </x:c>
      <x:c r="P12" s="30" t="str">
        <x:v>E07</x:v>
      </x:c>
      <x:c r="Q12" s="4" t="str">
        <x:v>実機UI操作＋読取API／端末ログ照合。専用ドライバー整備後に実施。</x:v>
      </x:c>
      <x:c r="R12" s="4" t="str">
        <x:v>評価は対象の現行ビルドだけ。旧版/検証版結果を現行OKへ繰り上げない。</x:v>
      </x:c>
      <x:c r="S12" s="4" t="str">
        <x:v>未確認</x:v>
      </x:c>
      <x:c r="T12" s="4" t="str">
        <x:v>旧版/検証版のみ</x:v>
      </x:c>
      <x:c r="U12" s="4" t="str">
        <x:v>該当する過去の実機証跡を今回特定できず。未実施と断定せず未確認。</x:v>
      </x:c>
      <x:c r="V12" s="4" t="str">
        <x:v>検証104／2026-10-24：保存・破棄・上限後の名前入力再表示・保存後再開を実機/API確認。現行27で同じシナリオを再実施したものではない。 [E07]</x:v>
      </x:c>
      <x:c r="W12" s="4" t="str">
        <x:v>通常回帰・未確認</x:v>
      </x:c>
      <x:c r="X12" s="4" t="str">
        <x:v>未確認の全件を必須にはしない。変更範囲・重大度・障害発生に応じて選択。</x:v>
      </x:c>
      <x:c r="Y12" s="4" t="str">
        <x:v>A2 次優先</x:v>
      </x:c>
      <x:c r="Z12" s="4" t="str">
        <x:v>安定した実機UIドライバーとfixtureを整備し、対象OSの評価欄へ証跡付きで記録。</x:v>
      </x:c>
    </x:row>
    <x:row r="13" ht="105" customHeight="1">
      <x:c r="A13" s="6" t="n">
        <x:v>6</x:v>
      </x:c>
      <x:c r="B13" s="4" t="str">
        <x:v>01 自動記録・設定</x:v>
      </x:c>
      <x:c r="C13" s="4" t="str">
        <x:v>停止</x:v>
      </x:c>
      <x:c r="D13" s="4" t="str">
        <x:v>通常停止</x:v>
      </x:c>
      <x:c r="E13" s="4" t="str">
        <x:v>測位の記録側処理が停止し、名前入力が1回だけ表示される。共有は別の停止操作まで維持される。</x:v>
      </x:c>
      <x:c r="F13" s="4" t="str">
        <x:v>自動実機テスト</x:v>
      </x:c>
      <x:c r="G13" s="7" t="str">
        <x:v>共通</x:v>
      </x:c>
      <x:c r="H13" s="7" t="str">
        <x:v>P0</x:v>
      </x:c>
      <x:c r="I13" s="4" t="str">
        <x:v>標準環境S1</x:v>
      </x:c>
      <x:c r="J13" s="4" t="str">
        <x:v>60秒以上記録して停止を1回押す。</x:v>
      </x:c>
      <x:c r="K13" s="4" t="str">
        <x:v>同じ操作を両OSで個別に実施</x:v>
      </x:c>
      <x:c r="L13" s="29" t="str">
        <x:v>保留</x:v>
      </x:c>
      <x:c r="M13" s="29" t="str">
        <x:v>保留</x:v>
      </x:c>
      <x:c r="N13" s="30" t="str">
        <x:v>対象：1.0.5(12)／証跡照合日2026-10-26。実施：利用者操作＋ログ/クラウド照合。1.0.5(12)通常停止と名前入力は確認。記録停止後の共有継続は共有先なしのためこの試験では未確認。</x:v>
      </x:c>
      <x:c r="O13" s="30" t="str">
        <x:v>対象：1.0.5(27)／証跡照合日2026-10-26。実施：利用者操作＋ログ/クラウド照合。1.0.5(27)通常停止と名前入力は確認。記録停止後の共有継続は共有先なしのためこの試験では未確認。</x:v>
      </x:c>
      <x:c r="P13" s="30" t="str">
        <x:v>E01 / E02 / E07</x:v>
      </x:c>
      <x:c r="Q13" s="4" t="str">
        <x:v>実機UI操作＋読取API／端末ログ照合。専用ドライバー整備後に実施。</x:v>
      </x:c>
      <x:c r="R13" s="4" t="str">
        <x:v>評価は対象の現行ビルドだけ。旧版/検証版結果を現行OKへ繰り上げない。</x:v>
      </x:c>
      <x:c r="S13" s="4" t="str">
        <x:v>現行部分確認</x:v>
      </x:c>
      <x:c r="T13" s="4" t="str">
        <x:v>現行部分確認</x:v>
      </x:c>
      <x:c r="U13" s="4" t="str">
        <x:v>該当する過去の実機証跡を今回特定できず。未実施と断定せず未確認。</x:v>
      </x:c>
      <x:c r="V13" s="4" t="str">
        <x:v>検証104／2026-10-24：保存・破棄・上限後の名前入力再表示・保存後再開を実機/API確認。現行27で同じシナリオを再実施したものではない。 [E07]</x:v>
      </x:c>
      <x:c r="W13" s="4" t="str">
        <x:v>通常回帰・未確認</x:v>
      </x:c>
      <x:c r="X13" s="4" t="str">
        <x:v>未確認の全件を必須にはしない。変更範囲・重大度・障害発生に応じて選択。</x:v>
      </x:c>
      <x:c r="Y13" s="4" t="str">
        <x:v>A2 次優先</x:v>
      </x:c>
      <x:c r="Z13" s="4" t="str">
        <x:v>安定した実機UIドライバーとfixtureを整備し、対象OSの評価欄へ証跡付きで記録。</x:v>
      </x:c>
    </x:row>
    <x:row r="14" ht="105" customHeight="1">
      <x:c r="A14" s="6" t="n">
        <x:v>7</x:v>
      </x:c>
      <x:c r="B14" s="4" t="str">
        <x:v>01 自動記録・設定</x:v>
      </x:c>
      <x:c r="C14" s="4" t="str">
        <x:v>停止</x:v>
      </x:c>
      <x:c r="D14" s="4" t="str">
        <x:v>停止の連打</x:v>
      </x:c>
      <x:c r="E14" s="4" t="str">
        <x:v>名前入力・停止確定・集計が重複実行されない。</x:v>
      </x:c>
      <x:c r="F14" s="4" t="str">
        <x:v>自動実機テスト</x:v>
      </x:c>
      <x:c r="G14" s="7" t="str">
        <x:v>共通</x:v>
      </x:c>
      <x:c r="H14" s="7" t="str">
        <x:v>P0</x:v>
      </x:c>
      <x:c r="I14" s="4" t="str">
        <x:v>標準環境S1</x:v>
      </x:c>
      <x:c r="J14" s="4" t="str">
        <x:v>記録中に停止を複数回押す。</x:v>
      </x:c>
      <x:c r="K14" s="4" t="str">
        <x:v>同じ操作を両OSで個別に実施</x:v>
      </x:c>
      <x:c r="L14" s="29" t="str">
        <x:v>未実施</x:v>
      </x:c>
      <x:c r="M14" s="29" t="str">
        <x:v>未実施</x:v>
      </x:c>
      <x:c r="N14" s="30" t="str">
        <x:v>現行ビルドで当該手順の実施証跡なし。過去結果と参考試験は右欄。</x:v>
      </x:c>
      <x:c r="O14" s="30" t="str">
        <x:v>現行ビルドで当該手順の実施証跡なし。過去結果と参考試験は右欄。</x:v>
      </x:c>
      <x:c r="P14" s="30" t="str">
        <x:v>E11 / E20</x:v>
      </x:c>
      <x:c r="Q14" s="4" t="str">
        <x:v>実機UI操作＋読取API／端末ログ照合。専用ドライバー整備後に実施。</x:v>
      </x:c>
      <x:c r="R14" s="4" t="str">
        <x:v>ローカル80TS＋実SQLite12：冪等性・受信箱・停止復旧・再送／破棄を検証。現行実機の同条件試験ではない。 [E11,E20]</x:v>
      </x:c>
      <x:c r="S14" s="4" t="str">
        <x:v>API/ローカルのみ</x:v>
      </x:c>
      <x:c r="T14" s="4" t="str">
        <x:v>API/ローカルのみ</x:v>
      </x:c>
      <x:c r="U14" s="4" t="str">
        <x:v>該当する過去の実機証跡を今回特定できず。未実施と断定せず未確認。</x:v>
      </x:c>
      <x:c r="V14" s="4" t="str">
        <x:v>該当する過去の実機証跡を今回特定できず。未実施と断定せず未確認。</x:v>
      </x:c>
      <x:c r="W14" s="4" t="str">
        <x:v>変更/障害時に追試</x:v>
      </x:c>
      <x:c r="X14" s="4" t="str">
        <x:v>未確認の全件を必須にはしない。変更範囲・重大度・障害発生に応じて選択。</x:v>
      </x:c>
      <x:c r="Y14" s="4" t="str">
        <x:v>A1 最優先</x:v>
      </x:c>
      <x:c r="Z14" s="4" t="str">
        <x:v>専用セッションでUI＋キュー件数/内容・クラウド/索引/集計を前後照合。遅延・応答喪失を隔離注入。</x:v>
      </x:c>
    </x:row>
    <x:row r="15" ht="105" customHeight="1">
      <x:c r="A15" s="6" t="n">
        <x:v>8</x:v>
      </x:c>
      <x:c r="B15" s="4" t="str">
        <x:v>01 自動記録・設定</x:v>
      </x:c>
      <x:c r="C15" s="4" t="str">
        <x:v>再開始</x:v>
      </x:c>
      <x:c r="D15" s="4" t="str">
        <x:v>保存後に同じアプリで再開始</x:v>
      </x:c>
      <x:c r="E15" s="4" t="str">
        <x:v>別の記録IDで開始し、前記録の地点が混入しない。</x:v>
      </x:c>
      <x:c r="F15" s="4" t="str">
        <x:v>自動実機テスト</x:v>
      </x:c>
      <x:c r="G15" s="7" t="str">
        <x:v>共通</x:v>
      </x:c>
      <x:c r="H15" s="7" t="str">
        <x:v>P0</x:v>
      </x:c>
      <x:c r="I15" s="4" t="str">
        <x:v>標準環境S1</x:v>
      </x:c>
      <x:c r="J15" s="4" t="str">
        <x:v>記録を保存し、再び記録開始する。</x:v>
      </x:c>
      <x:c r="K15" s="4" t="str">
        <x:v>同じ操作を両OSで個別に実施</x:v>
      </x:c>
      <x:c r="L15" s="29" t="str">
        <x:v>未実施</x:v>
      </x:c>
      <x:c r="M15" s="29" t="str">
        <x:v>未実施</x:v>
      </x:c>
      <x:c r="N15" s="30" t="str">
        <x:v>現行ビルドで当該手順の実施証跡なし。過去結果と参考試験は右欄。</x:v>
      </x:c>
      <x:c r="O15" s="30" t="str">
        <x:v>現行ビルドで当該手順の実施証跡なし。過去結果と参考試験は右欄。</x:v>
      </x:c>
      <x:c r="P15" s="30" t="str">
        <x:v>E07</x:v>
      </x:c>
      <x:c r="Q15" s="4" t="str">
        <x:v>実機UI操作＋読取API／端末ログ照合。専用ドライバー整備後に実施。</x:v>
      </x:c>
      <x:c r="R15" s="4" t="str">
        <x:v>評価は対象の現行ビルドだけ。旧版/検証版結果を現行OKへ繰り上げない。</x:v>
      </x:c>
      <x:c r="S15" s="4" t="str">
        <x:v>未確認</x:v>
      </x:c>
      <x:c r="T15" s="4" t="str">
        <x:v>旧版/検証版のみ</x:v>
      </x:c>
      <x:c r="U15" s="4" t="str">
        <x:v>該当する過去の実機証跡を今回特定できず。未実施と断定せず未確認。</x:v>
      </x:c>
      <x:c r="V15" s="4" t="str">
        <x:v>検証104／2026-10-24：保存・破棄・上限後の名前入力再表示・保存後再開を実機/API確認。現行27で同じシナリオを再実施したものではない。 [E07]</x:v>
      </x:c>
      <x:c r="W15" s="4" t="str">
        <x:v>通常回帰・未確認</x:v>
      </x:c>
      <x:c r="X15" s="4" t="str">
        <x:v>未確認の全件を必須にはしない。変更範囲・重大度・障害発生に応じて選択。</x:v>
      </x:c>
      <x:c r="Y15" s="4" t="str">
        <x:v>A2 次優先</x:v>
      </x:c>
      <x:c r="Z15" s="4" t="str">
        <x:v>安定した実機UIドライバーとfixtureを整備し、対象OSの評価欄へ証跡付きで記録。</x:v>
      </x:c>
    </x:row>
    <x:row r="16" ht="105" customHeight="1">
      <x:c r="A16" s="6" t="n">
        <x:v>9</x:v>
      </x:c>
      <x:c r="B16" s="4" t="str">
        <x:v>01 自動記録・設定</x:v>
      </x:c>
      <x:c r="C16" s="4" t="str">
        <x:v>再開始</x:v>
      </x:c>
      <x:c r="D16" s="4" t="str">
        <x:v>記録と共有を完全停止後に再開始</x:v>
      </x:c>
      <x:c r="E16" s="4" t="str">
        <x:v>Native→JSの受信と地点保存が復帰し、古いセッションで送信しない。</x:v>
      </x:c>
      <x:c r="F16" s="4" t="str">
        <x:v>自動実機テスト</x:v>
      </x:c>
      <x:c r="G16" s="7" t="str">
        <x:v>共通</x:v>
      </x:c>
      <x:c r="H16" s="7" t="str">
        <x:v>P0</x:v>
      </x:c>
      <x:c r="I16" s="4" t="str">
        <x:v>標準環境S1</x:v>
      </x:c>
      <x:c r="J16" s="4" t="str">
        <x:v>記録を保存し共有も停止。10秒待ち、再共有して記録開始。</x:v>
      </x:c>
      <x:c r="K16" s="4" t="str">
        <x:v>同じ操作を両OSで個別に実施</x:v>
      </x:c>
      <x:c r="L16" s="29" t="str">
        <x:v>未実施</x:v>
      </x:c>
      <x:c r="M16" s="29" t="str">
        <x:v>未実施</x:v>
      </x:c>
      <x:c r="N16" s="30" t="str">
        <x:v>現行ビルドで当該手順の実施証跡なし。過去結果と参考試験は右欄。</x:v>
      </x:c>
      <x:c r="O16" s="30" t="str">
        <x:v>現行ビルドで当該手順の実施証跡なし。過去結果と参考試験は右欄。</x:v>
      </x:c>
      <x:c r="P16" s="30" t="str">
        <x:v>E07</x:v>
      </x:c>
      <x:c r="Q16" s="4" t="str">
        <x:v>実機UI操作＋読取API／端末ログ照合。専用ドライバー整備後に実施。</x:v>
      </x:c>
      <x:c r="R16" s="4" t="str">
        <x:v>評価は対象の現行ビルドだけ。旧版/検証版結果を現行OKへ繰り上げない。</x:v>
      </x:c>
      <x:c r="S16" s="4" t="str">
        <x:v>未確認</x:v>
      </x:c>
      <x:c r="T16" s="4" t="str">
        <x:v>旧版/検証版のみ</x:v>
      </x:c>
      <x:c r="U16" s="4" t="str">
        <x:v>該当する過去の実機証跡を今回特定できず。未実施と断定せず未確認。</x:v>
      </x:c>
      <x:c r="V16" s="4" t="str">
        <x:v>検証104／2026-10-24：保存・破棄・上限後の名前入力再表示・保存後再開を実機/API確認。現行27で同じシナリオを再実施したものではない。 [E07]</x:v>
      </x:c>
      <x:c r="W16" s="4" t="str">
        <x:v>通常回帰・未確認</x:v>
      </x:c>
      <x:c r="X16" s="4" t="str">
        <x:v>未確認の全件を必須にはしない。変更範囲・重大度・障害発生に応じて選択。</x:v>
      </x:c>
      <x:c r="Y16" s="4" t="str">
        <x:v>A2 次優先</x:v>
      </x:c>
      <x:c r="Z16" s="4" t="str">
        <x:v>安定した実機UIドライバーとfixtureを整備し、対象OSの評価欄へ証跡付きで記録。</x:v>
      </x:c>
    </x:row>
    <x:row r="17" ht="105" customHeight="1">
      <x:c r="A17" s="6" t="n">
        <x:v>10</x:v>
      </x:c>
      <x:c r="B17" s="4" t="str">
        <x:v>01 自動記録・設定</x:v>
      </x:c>
      <x:c r="C17" s="4" t="str">
        <x:v>状態</x:v>
      </x:c>
      <x:c r="D17" s="4" t="str">
        <x:v>静置中の経過時間</x:v>
      </x:c>
      <x:c r="E17" s="4" t="str">
        <x:v>経過時間は測位点の更新有無に依存せず進む。外部時計との違いは操作時刻を含め説明できる。</x:v>
      </x:c>
      <x:c r="F17" s="4" t="str">
        <x:v>手動実機テスト</x:v>
      </x:c>
      <x:c r="G17" s="7" t="str">
        <x:v>共通</x:v>
      </x:c>
      <x:c r="H17" s="7" t="str">
        <x:v>P0</x:v>
      </x:c>
      <x:c r="I17" s="4" t="str">
        <x:v>標準環境S1</x:v>
      </x:c>
      <x:c r="J17" s="4" t="str">
        <x:v>外部時計で90秒計測し、ホームの経過時間と比較する。</x:v>
      </x:c>
      <x:c r="K17" s="4" t="str">
        <x:v>同じ操作を両OSで個別に実施</x:v>
      </x:c>
      <x:c r="L17" s="29" t="str">
        <x:v>未実施</x:v>
      </x:c>
      <x:c r="M17" s="29" t="str">
        <x:v>未実施</x:v>
      </x:c>
      <x:c r="N17" s="30" t="str">
        <x:v>現行ビルドで当該手順の実施証跡なし。過去結果と参考試験は右欄。</x:v>
      </x:c>
      <x:c r="O17" s="30" t="str">
        <x:v>現行ビルドで当該手順の実施証跡なし。過去結果と参考試験は右欄。</x:v>
      </x:c>
      <x:c r="P17" s="30" t="str">
        <x:v>未採番：該当証跡未特定</x:v>
      </x:c>
      <x:c r="Q17" s="4" t="str">
        <x:v>画面観察・録画＋操作時刻・端末ログ／読取APIを照合。</x:v>
      </x:c>
      <x:c r="R17" s="4" t="str">
        <x:v>評価は対象の現行ビルドだけ。旧版/検証版結果を現行OKへ繰り上げない。</x:v>
      </x:c>
      <x:c r="S17" s="4" t="str">
        <x:v>未確認</x:v>
      </x:c>
      <x:c r="T17" s="4" t="str">
        <x:v>未確認</x:v>
      </x:c>
      <x:c r="U17" s="4" t="str">
        <x:v>該当する過去の実機証跡を今回特定できず。未実施と断定せず未確認。</x:v>
      </x:c>
      <x:c r="V17" s="4" t="str">
        <x:v>該当する過去の実機証跡を今回特定できず。未実施と断定せず未確認。</x:v>
      </x:c>
      <x:c r="W17" s="4" t="str">
        <x:v>通常回帰・未確認</x:v>
      </x:c>
      <x:c r="X17" s="4" t="str">
        <x:v>未確認の全件を必須にはしない。変更範囲・重大度・障害発生に応じて選択。</x:v>
      </x:c>
      <x:c r="Y17" s="4" t="str">
        <x:v>手動中心</x:v>
      </x:c>
      <x:c r="Z17" s="4" t="str">
        <x:v>実移動・権限ダイアログ・課金確認は手動。ログ/時刻/件数収集と比較を補助自動化。</x:v>
      </x:c>
    </x:row>
    <x:row r="18" ht="105" customHeight="1">
      <x:c r="A18" s="9" t="n">
        <x:v>11</x:v>
      </x:c>
      <x:c r="B18" s="10" t="str">
        <x:v>02 保存・破棄・停止後復旧</x:v>
      </x:c>
      <x:c r="C18" s="10" t="str">
        <x:v>保存</x:v>
      </x:c>
      <x:c r="D18" s="10" t="str">
        <x:v>名前を付けて保存</x:v>
      </x:c>
      <x:c r="E18" s="10" t="str">
        <x:v>名前・記録ID・地点・開始終了時刻が対応し、履歴・索引・集計へ1件だけ確定する。</x:v>
      </x:c>
      <x:c r="F18" s="10" t="str">
        <x:v>自動実機テスト</x:v>
      </x:c>
      <x:c r="G18" s="11" t="str">
        <x:v>共通</x:v>
      </x:c>
      <x:c r="H18" s="11" t="str">
        <x:v>P0</x:v>
      </x:c>
      <x:c r="I18" s="10" t="str">
        <x:v>標準環境S1</x:v>
      </x:c>
      <x:c r="J18" s="10" t="str">
        <x:v>60秒記録して停止し、一意な名前で保存。履歴から地図を開く。</x:v>
      </x:c>
      <x:c r="K18" s="10" t="str">
        <x:v>同じ操作を両OSで個別に実施</x:v>
      </x:c>
      <x:c r="L18" s="29" t="str">
        <x:v>OK</x:v>
      </x:c>
      <x:c r="M18" s="29" t="str">
        <x:v>OK</x:v>
      </x:c>
      <x:c r="N18" s="30" t="str">
        <x:v>対象：1.0.5(12)／証跡照合日2026-10-26。実施：利用者操作＋ログ/クラウド照合。1.0.5(12)「1.0.5内蔵iOS保存確認」。4地点／70.015秒／0m、表示1:10・線なし。名前・履歴とサマリーを確認。</x:v>
      </x:c>
      <x:c r="O18" s="30" t="str">
        <x:v>対象：1.0.5(27)／証跡照合日2026-10-26。実施：利用者操作＋ログ/クラウド照合。1.0.5(27)「1.0.5内蔵Android保存確認」。5地点／65.291秒／1.3528m、表示1:05・1m・線あり。名前・履歴とサマリーを確認。</x:v>
      </x:c>
      <x:c r="P18" s="30" t="str">
        <x:v>E01 / E02</x:v>
      </x:c>
      <x:c r="Q18" s="4" t="str">
        <x:v>実機UI操作＋読取API／端末ログ照合。専用ドライバー整備後に実施。</x:v>
      </x:c>
      <x:c r="R18" s="4" t="str">
        <x:v>評価は対象の現行ビルドだけ。旧版/検証版結果を現行OKへ繰り上げない。</x:v>
      </x:c>
      <x:c r="S18" s="4" t="str">
        <x:v>現行OK</x:v>
      </x:c>
      <x:c r="T18" s="4" t="str">
        <x:v>現行OK</x:v>
      </x:c>
      <x:c r="U18" s="4" t="str">
        <x:v>該当する過去の実機証跡を今回特定できず。未実施と断定せず未確認。</x:v>
      </x:c>
      <x:c r="V18" s="4" t="str">
        <x:v>該当する過去の実機証跡を今回特定できず。未実施と断定せず未確認。</x:v>
      </x:c>
      <x:c r="W18" s="4" t="str">
        <x:v>現行確認済み</x:v>
      </x:c>
      <x:c r="X18" s="4" t="str">
        <x:v>同じ成果物・OTA・本番差分が不変なら無目的に再実施しない。</x:v>
      </x:c>
      <x:c r="Y18" s="4" t="str">
        <x:v>A1 最優先</x:v>
      </x:c>
      <x:c r="Z18" s="4" t="str">
        <x:v>専用セッションでUI＋キュー件数/内容・クラウド/索引/集計を前後照合。遅延・応答喪失を隔離注入。</x:v>
      </x:c>
    </x:row>
    <x:row r="19" ht="105" customHeight="1">
      <x:c r="A19" s="6" t="n">
        <x:v>12</x:v>
      </x:c>
      <x:c r="B19" s="4" t="str">
        <x:v>02 保存・破棄・停止後復旧</x:v>
      </x:c>
      <x:c r="C19" s="4" t="str">
        <x:v>保存</x:v>
      </x:c>
      <x:c r="D19" s="4" t="str">
        <x:v>日本語・英数を含む名前</x:v>
      </x:c>
      <x:c r="E19" s="4" t="str">
        <x:v>入力した名前が文字化けせず保持される。</x:v>
      </x:c>
      <x:c r="F19" s="4" t="str">
        <x:v>自動実機テスト</x:v>
      </x:c>
      <x:c r="G19" s="7" t="str">
        <x:v>共通</x:v>
      </x:c>
      <x:c r="H19" s="7" t="str">
        <x:v>P1</x:v>
      </x:c>
      <x:c r="I19" s="4" t="str">
        <x:v>標準環境S1</x:v>
      </x:c>
      <x:c r="J19" s="4" t="str">
        <x:v>日本語・英数を含む名前を入力して保存し再表示する。</x:v>
      </x:c>
      <x:c r="K19" s="4" t="str">
        <x:v>同じ操作を両OSで個別に実施</x:v>
      </x:c>
      <x:c r="L19" s="29" t="str">
        <x:v>OK</x:v>
      </x:c>
      <x:c r="M19" s="29" t="str">
        <x:v>OK</x:v>
      </x:c>
      <x:c r="N19" s="30" t="str">
        <x:v>対象：1.0.5(12)／証跡照合日2026-10-26。実施：利用者操作＋ログ/クラウド照合。1.0.5(12)「1.0.5内蔵iOS保存確認」。4地点／70.015秒／0m、表示1:10・線なし。名前・履歴とサマリーを確認。</x:v>
      </x:c>
      <x:c r="O19" s="30" t="str">
        <x:v>対象：1.0.5(27)／証跡照合日2026-10-26。実施：利用者操作＋ログ/クラウド照合。1.0.5(27)「1.0.5内蔵Android保存確認」。5地点／65.291秒／1.3528m、表示1:05・1m・線あり。名前・履歴とサマリーを確認。</x:v>
      </x:c>
      <x:c r="P19" s="30" t="str">
        <x:v>E01 / E02</x:v>
      </x:c>
      <x:c r="Q19" s="4" t="str">
        <x:v>実機UI操作＋読取API／端末ログ照合。専用ドライバー整備後に実施。</x:v>
      </x:c>
      <x:c r="R19" s="4" t="str">
        <x:v>評価は対象の現行ビルドだけ。旧版/検証版結果を現行OKへ繰り上げない。</x:v>
      </x:c>
      <x:c r="S19" s="4" t="str">
        <x:v>現行OK</x:v>
      </x:c>
      <x:c r="T19" s="4" t="str">
        <x:v>現行OK</x:v>
      </x:c>
      <x:c r="U19" s="4" t="str">
        <x:v>該当する過去の実機証跡を今回特定できず。未実施と断定せず未確認。</x:v>
      </x:c>
      <x:c r="V19" s="4" t="str">
        <x:v>該当する過去の実機証跡を今回特定できず。未実施と断定せず未確認。</x:v>
      </x:c>
      <x:c r="W19" s="4" t="str">
        <x:v>現行確認済み</x:v>
      </x:c>
      <x:c r="X19" s="4" t="str">
        <x:v>同じ成果物・OTA・本番差分が不変なら無目的に再実施しない。</x:v>
      </x:c>
      <x:c r="Y19" s="4" t="str">
        <x:v>A2 次優先</x:v>
      </x:c>
      <x:c r="Z19" s="4" t="str">
        <x:v>安定した実機UIドライバーとfixtureを整備し、対象OSの評価欄へ証跡付きで記録。</x:v>
      </x:c>
    </x:row>
    <x:row r="20" ht="105" customHeight="1">
      <x:c r="A20" s="6" t="n">
        <x:v>13</x:v>
      </x:c>
      <x:c r="B20" s="4" t="str">
        <x:v>02 保存・破棄・停止後復旧</x:v>
      </x:c>
      <x:c r="C20" s="4" t="str">
        <x:v>保存</x:v>
      </x:c>
      <x:c r="D20" s="4" t="str">
        <x:v>保存ボタン連打</x:v>
      </x:c>
      <x:c r="E20" s="4" t="str">
        <x:v>記録・集計・月間件数が重複しない。</x:v>
      </x:c>
      <x:c r="F20" s="4" t="str">
        <x:v>自動実機テスト</x:v>
      </x:c>
      <x:c r="G20" s="7" t="str">
        <x:v>共通</x:v>
      </x:c>
      <x:c r="H20" s="7" t="str">
        <x:v>P0</x:v>
      </x:c>
      <x:c r="I20" s="4" t="str">
        <x:v>標準環境S1</x:v>
      </x:c>
      <x:c r="J20" s="4" t="str">
        <x:v>名前入力後、保存を複数回押す。</x:v>
      </x:c>
      <x:c r="K20" s="4" t="str">
        <x:v>同じ操作を両OSで個別に実施</x:v>
      </x:c>
      <x:c r="L20" s="29" t="str">
        <x:v>未実施</x:v>
      </x:c>
      <x:c r="M20" s="29" t="str">
        <x:v>未実施</x:v>
      </x:c>
      <x:c r="N20" s="30" t="str">
        <x:v>現行ビルドで当該手順の実施証跡なし。過去結果と参考試験は右欄。</x:v>
      </x:c>
      <x:c r="O20" s="30" t="str">
        <x:v>現行ビルドで当該手順の実施証跡なし。過去結果と参考試験は右欄。</x:v>
      </x:c>
      <x:c r="P20" s="30" t="str">
        <x:v>E11 / E20</x:v>
      </x:c>
      <x:c r="Q20" s="4" t="str">
        <x:v>実機UI操作＋読取API／端末ログ照合。専用ドライバー整備後に実施。</x:v>
      </x:c>
      <x:c r="R20" s="4" t="str">
        <x:v>ローカル80TS＋実SQLite12：冪等性・受信箱・停止復旧・再送／破棄を検証。現行実機の同条件試験ではない。 [E11,E20]</x:v>
      </x:c>
      <x:c r="S20" s="4" t="str">
        <x:v>API/ローカルのみ</x:v>
      </x:c>
      <x:c r="T20" s="4" t="str">
        <x:v>API/ローカルのみ</x:v>
      </x:c>
      <x:c r="U20" s="4" t="str">
        <x:v>該当する過去の実機証跡を今回特定できず。未実施と断定せず未確認。</x:v>
      </x:c>
      <x:c r="V20" s="4" t="str">
        <x:v>該当する過去の実機証跡を今回特定できず。未実施と断定せず未確認。</x:v>
      </x:c>
      <x:c r="W20" s="4" t="str">
        <x:v>変更/障害時に追試</x:v>
      </x:c>
      <x:c r="X20" s="4" t="str">
        <x:v>未確認の全件を必須にはしない。変更範囲・重大度・障害発生に応じて選択。</x:v>
      </x:c>
      <x:c r="Y20" s="4" t="str">
        <x:v>A1 最優先</x:v>
      </x:c>
      <x:c r="Z20" s="4" t="str">
        <x:v>専用セッションでUI＋キュー件数/内容・クラウド/索引/集計を前後照合。遅延・応答喪失を隔離注入。</x:v>
      </x:c>
    </x:row>
    <x:row r="21" ht="105" customHeight="1">
      <x:c r="A21" s="6" t="n">
        <x:v>14</x:v>
      </x:c>
      <x:c r="B21" s="4" t="str">
        <x:v>02 保存・破棄・停止後復旧</x:v>
      </x:c>
      <x:c r="C21" s="4" t="str">
        <x:v>保存</x:v>
      </x:c>
      <x:c r="D21" s="4" t="str">
        <x:v>保存中の通信断から再試行</x:v>
      </x:c>
      <x:c r="E21" s="4" t="str">
        <x:v>完了前に成功表示しない。未完了状態を保持し、再試行後に1回だけ保存される。</x:v>
      </x:c>
      <x:c r="F21" s="4" t="str">
        <x:v>手動実機テスト</x:v>
      </x:c>
      <x:c r="G21" s="7" t="str">
        <x:v>共通</x:v>
      </x:c>
      <x:c r="H21" s="7" t="str">
        <x:v>P0</x:v>
      </x:c>
      <x:c r="I21" s="4" t="str">
        <x:v>S1＋通信切断可能な専用端末</x:v>
      </x:c>
      <x:c r="J21" s="4" t="str">
        <x:v>停止・名前入力後に通信を切り保存。復帰後に同じ保存を再試行。</x:v>
      </x:c>
      <x:c r="K21" s="4" t="str">
        <x:v>同じ操作を両OSで個別に実施</x:v>
      </x:c>
      <x:c r="L21" s="29" t="str">
        <x:v>未実施</x:v>
      </x:c>
      <x:c r="M21" s="29" t="str">
        <x:v>未実施</x:v>
      </x:c>
      <x:c r="N21" s="30" t="str">
        <x:v>現行ビルドで当該手順の実施証跡なし。過去結果と参考試験は右欄。</x:v>
      </x:c>
      <x:c r="O21" s="30" t="str">
        <x:v>現行ビルドで当該手順の実施証跡なし。過去結果と参考試験は右欄。</x:v>
      </x:c>
      <x:c r="P21" s="30" t="str">
        <x:v>E11 / E20</x:v>
      </x:c>
      <x:c r="Q21" s="4" t="str">
        <x:v>画面観察・録画＋操作時刻・端末ログ／読取APIを照合。</x:v>
      </x:c>
      <x:c r="R21" s="4" t="str">
        <x:v>ローカル80TS＋実SQLite12：冪等性・受信箱・停止復旧・再送／破棄を検証。現行実機の同条件試験ではない。 [E11,E20]</x:v>
      </x:c>
      <x:c r="S21" s="4" t="str">
        <x:v>API/ローカルのみ</x:v>
      </x:c>
      <x:c r="T21" s="4" t="str">
        <x:v>API/ローカルのみ</x:v>
      </x:c>
      <x:c r="U21" s="4" t="str">
        <x:v>該当する過去の実機証跡を今回特定できず。未実施と断定せず未確認。</x:v>
      </x:c>
      <x:c r="V21" s="4" t="str">
        <x:v>該当する過去の実機証跡を今回特定できず。未実施と断定せず未確認。</x:v>
      </x:c>
      <x:c r="W21" s="4" t="str">
        <x:v>変更/障害時に追試</x:v>
      </x:c>
      <x:c r="X21" s="4" t="str">
        <x:v>未確認の全件を必須にはしない。変更範囲・重大度・障害発生に応じて選択。</x:v>
      </x:c>
      <x:c r="Y21" s="4" t="str">
        <x:v>A1 最優先</x:v>
      </x:c>
      <x:c r="Z21" s="4" t="str">
        <x:v>専用セッションでUI＋キュー件数/内容・クラウド/索引/集計を前後照合。遅延・応答喪失を隔離注入。</x:v>
      </x:c>
    </x:row>
    <x:row r="22" ht="105" customHeight="1">
      <x:c r="A22" s="6" t="n">
        <x:v>15</x:v>
      </x:c>
      <x:c r="B22" s="4" t="str">
        <x:v>02 保存・破棄・停止後復旧</x:v>
      </x:c>
      <x:c r="C22" s="4" t="str">
        <x:v>破棄</x:v>
      </x:c>
      <x:c r="D22" s="4" t="str">
        <x:v>通常の保存しない</x:v>
      </x:c>
      <x:c r="E22" s="4" t="str">
        <x:v>undefined is not a function等の削除エラーなくホームへ戻り、当該記録・地点・集計が残らない。</x:v>
      </x:c>
      <x:c r="F22" s="4" t="str">
        <x:v>自動実機テスト</x:v>
      </x:c>
      <x:c r="G22" s="7" t="str">
        <x:v>共通</x:v>
      </x:c>
      <x:c r="H22" s="7" t="str">
        <x:v>P0</x:v>
      </x:c>
      <x:c r="I22" s="4" t="str">
        <x:v>標準環境S1</x:v>
      </x:c>
      <x:c r="J22" s="4" t="str">
        <x:v>30秒記録して停止し、「保存しない」を1回押す。</x:v>
      </x:c>
      <x:c r="K22" s="4" t="str">
        <x:v>同じ操作を両OSで個別に実施</x:v>
      </x:c>
      <x:c r="L22" s="29" t="str">
        <x:v>OK</x:v>
      </x:c>
      <x:c r="M22" s="29" t="str">
        <x:v>OK</x:v>
      </x:c>
      <x:c r="N22" s="30" t="str">
        <x:v>対象：1.0.5(12)／証跡照合日2026-10-26。実施：利用者操作＋ログ/クラウド照合。1.0.5(12)で30秒記録→保存しない。削除エラー・黄色表示なし。保存後基準と4モデル一致。</x:v>
      </x:c>
      <x:c r="O22" s="30" t="str">
        <x:v>対象：1.0.5(27)／証跡照合日2026-10-26。実施：利用者操作＋ログ/クラウド照合。1.0.5(27)で30秒記録→保存しない。削除エラー・黄色表示なし。保存後基準と4モデル一致。</x:v>
      </x:c>
      <x:c r="P22" s="30" t="str">
        <x:v>E01 / E03 / E10</x:v>
      </x:c>
      <x:c r="Q22" s="4" t="str">
        <x:v>実機UI操作＋読取API／端末ログ照合。専用ドライバー整備後に実施。</x:v>
      </x:c>
      <x:c r="R22" s="4" t="str">
        <x:v>評価は対象の現行ビルドだけ。旧版/検証版結果を現行OKへ繰り上げない。</x:v>
      </x:c>
      <x:c r="S22" s="4" t="str">
        <x:v>現行OK</x:v>
      </x:c>
      <x:c r="T22" s="4" t="str">
        <x:v>現行OK</x:v>
      </x:c>
      <x:c r="U22" s="4" t="str">
        <x:v>通常版1.0.5(11)＋ed51468 OTA：保存・破棄・再起動後の保持に合格。現行内蔵版の証拠は別記。 [E10]</x:v>
      </x:c>
      <x:c r="V22" s="4" t="str">
        <x:v>通常版1.0.5(26)＋ed51468 OTA：保存・破棄・再起動後の保持に合格。現行内蔵版の証拠は別記。 [E10]</x:v>
      </x:c>
      <x:c r="W22" s="4" t="str">
        <x:v>現行確認済み</x:v>
      </x:c>
      <x:c r="X22" s="4" t="str">
        <x:v>同じ成果物・OTA・本番差分が不変なら無目的に再実施しない。</x:v>
      </x:c>
      <x:c r="Y22" s="4" t="str">
        <x:v>A1 最優先</x:v>
      </x:c>
      <x:c r="Z22" s="4" t="str">
        <x:v>専用セッションでUI＋キュー件数/内容・クラウド/索引/集計を前後照合。遅延・応答喪失を隔離注入。</x:v>
      </x:c>
    </x:row>
    <x:row r="23" ht="105" customHeight="1">
      <x:c r="A23" s="6" t="n">
        <x:v>16</x:v>
      </x:c>
      <x:c r="B23" s="4" t="str">
        <x:v>02 保存・破棄・停止後復旧</x:v>
      </x:c>
      <x:c r="C23" s="4" t="str">
        <x:v>破棄</x:v>
      </x:c>
      <x:c r="D23" s="4" t="str">
        <x:v>破棄対象以外のデータ保持</x:v>
      </x:c>
      <x:c r="E23" s="4" t="str">
        <x:v>対象IDだけ除去され、他の保存済み・未送信の内容と件数が一致する。</x:v>
      </x:c>
      <x:c r="F23" s="4" t="str">
        <x:v>自動実機テスト</x:v>
      </x:c>
      <x:c r="G23" s="7" t="str">
        <x:v>共通</x:v>
      </x:c>
      <x:c r="H23" s="7" t="str">
        <x:v>P0</x:v>
      </x:c>
      <x:c r="I23" s="4" t="str">
        <x:v>S2：専用の未送信fixture・読取照合手段</x:v>
      </x:c>
      <x:c r="J23" s="4" t="str">
        <x:v>保存済み記録と別セッションの未送信を準備し、新規1件だけ破棄する。</x:v>
      </x:c>
      <x:c r="K23" s="4" t="str">
        <x:v>同じ操作を両OSで個別に実施</x:v>
      </x:c>
      <x:c r="L23" s="29" t="str">
        <x:v>保留</x:v>
      </x:c>
      <x:c r="M23" s="29" t="str">
        <x:v>保留</x:v>
      </x:c>
      <x:c r="N23" s="30" t="str">
        <x:v>対象：1.0.5(12)／証跡照合日2026-10-26。実施：利用者操作＋ログ/クラウド照合。1.0.5(12)で対象外保存済み4モデル保持は確認。別セッションの非ゼロ未送信保持は未実施。</x:v>
      </x:c>
      <x:c r="O23" s="30" t="str">
        <x:v>対象：1.0.5(27)／証跡照合日2026-10-26。実施：利用者操作＋ログ/クラウド照合。1.0.5(27)で対象外保存済み4モデル保持は確認。別セッションの非ゼロ未送信保持は未実施。</x:v>
      </x:c>
      <x:c r="P23" s="30" t="str">
        <x:v>E01 / E03 / E09</x:v>
      </x:c>
      <x:c r="Q23" s="4" t="str">
        <x:v>実機UI操作＋読取API／端末ログ照合。専用ドライバー整備後に実施。</x:v>
      </x:c>
      <x:c r="R23" s="4" t="str">
        <x:v>評価は対象の現行ビルドだけ。旧版/検証版結果を現行OKへ繰り上げない。</x:v>
      </x:c>
      <x:c r="S23" s="4" t="str">
        <x:v>現行部分確認</x:v>
      </x:c>
      <x:c r="T23" s="4" t="str">
        <x:v>現行部分確認</x:v>
      </x:c>
      <x:c r="U23" s="4" t="str">
        <x:v>検証104認証切替：既存1738件＋非実在所有者の合成未送信2件を保持。通常版12の非ゼロ未送信上書き試験ではない。 [E09]</x:v>
      </x:c>
      <x:c r="V23" s="4" t="str">
        <x:v>検証104認証切替：既存2032件＋非実在所有者の合成未送信2件を保持。破棄中の別セッション実未送信配送試験とは違う。 [E09]</x:v>
      </x:c>
      <x:c r="W23" s="4" t="str">
        <x:v>既受容制限・後続</x:v>
      </x:c>
      <x:c r="X23" s="4" t="str">
        <x:v>非ゼロ実未送信の上書き直接証明などは既受容の限界。今回自動で出荷阻止へ変更しない。</x:v>
      </x:c>
      <x:c r="Y23" s="4" t="str">
        <x:v>A1 最優先</x:v>
      </x:c>
      <x:c r="Z23" s="4" t="str">
        <x:v>専用セッションでUI＋キュー件数/内容・クラウド/索引/集計を前後照合。遅延・応答喪失を隔離注入。</x:v>
      </x:c>
    </x:row>
    <x:row r="24" ht="105" customHeight="1">
      <x:c r="A24" s="6" t="n">
        <x:v>17</x:v>
      </x:c>
      <x:c r="B24" s="4" t="str">
        <x:v>02 保存・破棄・停止後復旧</x:v>
      </x:c>
      <x:c r="C24" s="4" t="str">
        <x:v>破棄</x:v>
      </x:c>
      <x:c r="D24" s="4" t="str">
        <x:v>未完了の破棄を再開</x:v>
      </x:c>
      <x:c r="E24" s="4" t="str">
        <x:v>同じ要求を継続して完了し、完了した要求の黄色表示が消える。</x:v>
      </x:c>
      <x:c r="F24" s="4" t="str">
        <x:v>手動実機テスト</x:v>
      </x:c>
      <x:c r="G24" s="7" t="str">
        <x:v>共通</x:v>
      </x:c>
      <x:c r="H24" s="7" t="str">
        <x:v>P0</x:v>
      </x:c>
      <x:c r="I24" s="4" t="str">
        <x:v>S2＋通信切断</x:v>
      </x:c>
      <x:c r="J24" s="4" t="str">
        <x:v>専用データで通信断等により破棄を中断し、再接続後「破棄を再開」を1回押す。</x:v>
      </x:c>
      <x:c r="K24" s="4" t="str">
        <x:v>同じ操作を両OSで個別に実施</x:v>
      </x:c>
      <x:c r="L24" s="29" t="str">
        <x:v>未実施</x:v>
      </x:c>
      <x:c r="M24" s="29" t="str">
        <x:v>未実施</x:v>
      </x:c>
      <x:c r="N24" s="30" t="str">
        <x:v>現行ビルドで当該手順の実施証跡なし。過去結果と参考試験は右欄。</x:v>
      </x:c>
      <x:c r="O24" s="30" t="str">
        <x:v>現行ビルドで当該手順の実施証跡なし。過去結果と参考試験は右欄。</x:v>
      </x:c>
      <x:c r="P24" s="30" t="str">
        <x:v>E11 / E20 / E10</x:v>
      </x:c>
      <x:c r="Q24" s="4" t="str">
        <x:v>画面観察・録画＋操作時刻・端末ログ／読取APIを照合。</x:v>
      </x:c>
      <x:c r="R24" s="4" t="str">
        <x:v>ローカル80TS＋実SQLite12：冪等性・受信箱・停止復旧・再送／破棄を検証。現行実機の同条件試験ではない。 [E11,E20]</x:v>
      </x:c>
      <x:c r="S24" s="4" t="str">
        <x:v>API/ローカルのみ</x:v>
      </x:c>
      <x:c r="T24" s="4" t="str">
        <x:v>旧版/検証版のみ</x:v>
      </x:c>
      <x:c r="U24" s="4" t="str">
        <x:v>該当する過去の実機証跡を今回特定できず。未実施と断定せず未確認。</x:v>
      </x:c>
      <x:c r="V24" s="4" t="str">
        <x:v>通常版1.0.5(26)＋OTA 01a17264…：未完了の破棄2件を1回ずつ再開、最後に黄色表示消失。再起動後も再表示せず、保存済み2件の地図保持。 [E10]</x:v>
      </x:c>
      <x:c r="W24" s="4" t="str">
        <x:v>変更/障害時に追試</x:v>
      </x:c>
      <x:c r="X24" s="4" t="str">
        <x:v>未確認の全件を必須にはしない。変更範囲・重大度・障害発生に応じて選択。</x:v>
      </x:c>
      <x:c r="Y24" s="4" t="str">
        <x:v>A1 最優先</x:v>
      </x:c>
      <x:c r="Z24" s="4" t="str">
        <x:v>専用セッションでUI＋キュー件数/内容・クラウド/索引/集計を前後照合。遅延・応答喪失を隔離注入。</x:v>
      </x:c>
    </x:row>
    <x:row r="25" ht="105" customHeight="1">
      <x:c r="A25" s="6" t="n">
        <x:v>18</x:v>
      </x:c>
      <x:c r="B25" s="4" t="str">
        <x:v>02 保存・破棄・停止後復旧</x:v>
      </x:c>
      <x:c r="C25" s="4" t="str">
        <x:v>破棄</x:v>
      </x:c>
      <x:c r="D25" s="4" t="str">
        <x:v>複数の未完了要求を順次再開</x:v>
      </x:c>
      <x:c r="E25" s="4" t="str">
        <x:v>1件目完了後は残る要求のみ表示し、全件完了後に表示が消える。他のデータを消さない。</x:v>
      </x:c>
      <x:c r="F25" s="4" t="str">
        <x:v>自動実機テスト</x:v>
      </x:c>
      <x:c r="G25" s="7" t="str">
        <x:v>共通</x:v>
      </x:c>
      <x:c r="H25" s="7" t="str">
        <x:v>P0</x:v>
      </x:c>
      <x:c r="I25" s="4" t="str">
        <x:v>S2＋複数破棄要求fixture</x:v>
      </x:c>
      <x:c r="J25" s="4" t="str">
        <x:v>専用2セッションの未完了破棄を用意し、1件ずつ再開する。</x:v>
      </x:c>
      <x:c r="K25" s="4" t="str">
        <x:v>同じ操作を両OSで個別に実施</x:v>
      </x:c>
      <x:c r="L25" s="29" t="str">
        <x:v>未実施</x:v>
      </x:c>
      <x:c r="M25" s="29" t="str">
        <x:v>未実施</x:v>
      </x:c>
      <x:c r="N25" s="30" t="str">
        <x:v>現行ビルドで当該手順の実施証跡なし。過去結果と参考試験は右欄。</x:v>
      </x:c>
      <x:c r="O25" s="30" t="str">
        <x:v>現行ビルドで当該手順の実施証跡なし。過去結果と参考試験は右欄。</x:v>
      </x:c>
      <x:c r="P25" s="30" t="str">
        <x:v>E11 / E20 / E10</x:v>
      </x:c>
      <x:c r="Q25" s="4" t="str">
        <x:v>実機UI操作＋読取API／端末ログ照合。専用ドライバー整備後に実施。</x:v>
      </x:c>
      <x:c r="R25" s="4" t="str">
        <x:v>ローカル80TS＋実SQLite12：冪等性・受信箱・停止復旧・再送／破棄を検証。現行実機の同条件試験ではない。 [E11,E20]</x:v>
      </x:c>
      <x:c r="S25" s="4" t="str">
        <x:v>API/ローカルのみ</x:v>
      </x:c>
      <x:c r="T25" s="4" t="str">
        <x:v>旧版/検証版のみ</x:v>
      </x:c>
      <x:c r="U25" s="4" t="str">
        <x:v>該当する過去の実機証跡を今回特定できず。未実施と断定せず未確認。</x:v>
      </x:c>
      <x:c r="V25" s="4" t="str">
        <x:v>通常版1.0.5(26)＋OTA 01a17264…：未完了の破棄2件を1回ずつ再開、最後に黄色表示消失。再起動後も再表示せず、保存済み2件の地図保持。 [E10]</x:v>
      </x:c>
      <x:c r="W25" s="4" t="str">
        <x:v>変更/障害時に追試</x:v>
      </x:c>
      <x:c r="X25" s="4" t="str">
        <x:v>未確認の全件を必須にはしない。変更範囲・重大度・障害発生に応じて選択。</x:v>
      </x:c>
      <x:c r="Y25" s="4" t="str">
        <x:v>A1 最優先</x:v>
      </x:c>
      <x:c r="Z25" s="4" t="str">
        <x:v>専用セッションでUI＋キュー件数/内容・クラウド/索引/集計を前後照合。遅延・応答喪失を隔離注入。</x:v>
      </x:c>
    </x:row>
    <x:row r="26" ht="105" customHeight="1">
      <x:c r="A26" s="6" t="n">
        <x:v>19</x:v>
      </x:c>
      <x:c r="B26" s="4" t="str">
        <x:v>02 保存・破棄・停止後復旧</x:v>
      </x:c>
      <x:c r="C26" s="4" t="str">
        <x:v>復旧</x:v>
      </x:c>
      <x:c r="D26" s="4" t="str">
        <x:v>名前入力前のアプリ開き直し</x:v>
      </x:c>
      <x:c r="E26" s="4" t="str">
        <x:v>未確定の同じセッションについて名前入力が復元される。</x:v>
      </x:c>
      <x:c r="F26" s="4" t="str">
        <x:v>手動実機テスト</x:v>
      </x:c>
      <x:c r="G26" s="7" t="str">
        <x:v>共通</x:v>
      </x:c>
      <x:c r="H26" s="7" t="str">
        <x:v>P0</x:v>
      </x:c>
      <x:c r="I26" s="4" t="str">
        <x:v>標準環境S1</x:v>
      </x:c>
      <x:c r="J26" s="4" t="str">
        <x:v>停止して名前入力を表示。何も押さずアプリだけをスワイプ終了し再起動。</x:v>
      </x:c>
      <x:c r="K26" s="4" t="str">
        <x:v>同じ操作を両OSで個別に実施</x:v>
      </x:c>
      <x:c r="L26" s="29" t="str">
        <x:v>未実施</x:v>
      </x:c>
      <x:c r="M26" s="29" t="str">
        <x:v>未実施</x:v>
      </x:c>
      <x:c r="N26" s="30" t="str">
        <x:v>現行ビルドで当該手順の実施証跡なし。過去結果と参考試験は右欄。</x:v>
      </x:c>
      <x:c r="O26" s="30" t="str">
        <x:v>現行ビルドで当該手順の実施証跡なし。過去結果と参考試験は右欄。</x:v>
      </x:c>
      <x:c r="P26" s="30" t="str">
        <x:v>E11 / E20 / E07</x:v>
      </x:c>
      <x:c r="Q26" s="4" t="str">
        <x:v>画面観察・録画＋操作時刻・端末ログ／読取APIを照合。</x:v>
      </x:c>
      <x:c r="R26" s="4" t="str">
        <x:v>ローカル80TS＋実SQLite12：冪等性・受信箱・停止復旧・再送／破棄を検証。現行実機の同条件試験ではない。 [E11,E20]</x:v>
      </x:c>
      <x:c r="S26" s="4" t="str">
        <x:v>API/ローカルのみ</x:v>
      </x:c>
      <x:c r="T26" s="4" t="str">
        <x:v>旧版/検証版のみ</x:v>
      </x:c>
      <x:c r="U26" s="4" t="str">
        <x:v>該当する過去の実機証跡を今回特定できず。未実施と断定せず未確認。</x:v>
      </x:c>
      <x:c r="V26" s="4" t="str">
        <x:v>検証104／2026-10-24：保存・破棄・上限後の名前入力再表示・保存後再開を実機/API確認。現行27で同じシナリオを再実施したものではない。 [E07]</x:v>
      </x:c>
      <x:c r="W26" s="4" t="str">
        <x:v>公開前必須残（最小確認案）</x:v>
      </x:c>
      <x:c r="X26" s="4" t="str">
        <x:v>「残テスト・自動化」のG1〜G7で対象OSと手順を確認。関連Noの全組合せが完了するとは限らない。</x:v>
      </x:c>
      <x:c r="Y26" s="4" t="str">
        <x:v>A1 最優先</x:v>
      </x:c>
      <x:c r="Z26" s="4" t="str">
        <x:v>専用セッションでUI＋キュー件数/内容・クラウド/索引/集計を前後照合。遅延・応答喪失を隔離注入。</x:v>
      </x:c>
    </x:row>
    <x:row r="27" ht="105" customHeight="1">
      <x:c r="A27" s="6" t="n">
        <x:v>20</x:v>
      </x:c>
      <x:c r="B27" s="4" t="str">
        <x:v>02 保存・破棄・停止後復旧</x:v>
      </x:c>
      <x:c r="C27" s="4" t="str">
        <x:v>復旧</x:v>
      </x:c>
      <x:c r="D27" s="4" t="str">
        <x:v>保存後の再起動</x:v>
      </x:c>
      <x:c r="E27" s="4" t="str">
        <x:v>名前入力が再表示されず、保存済み記録と地図が保持される。</x:v>
      </x:c>
      <x:c r="F27" s="4" t="str">
        <x:v>手動実機テスト</x:v>
      </x:c>
      <x:c r="G27" s="7" t="str">
        <x:v>共通</x:v>
      </x:c>
      <x:c r="H27" s="7" t="str">
        <x:v>P0</x:v>
      </x:c>
      <x:c r="I27" s="4" t="str">
        <x:v>標準環境S1</x:v>
      </x:c>
      <x:c r="J27" s="4" t="str">
        <x:v>保存完了後にアプリをスワイプ終了して再起動。</x:v>
      </x:c>
      <x:c r="K27" s="4" t="str">
        <x:v>同じ操作を両OSで個別に実施</x:v>
      </x:c>
      <x:c r="L27" s="29" t="str">
        <x:v>OK</x:v>
      </x:c>
      <x:c r="M27" s="29" t="str">
        <x:v>OK</x:v>
      </x:c>
      <x:c r="N27" s="30" t="str">
        <x:v>対象：1.0.5(12)／証跡照合日2026-10-26。実施：利用者操作＋ログ/クラウド照合。1.0.5(12)再起動後、保存記録・地図・ログイン・停止状態を保持。名前入力再表示なし。</x:v>
      </x:c>
      <x:c r="O27" s="30" t="str">
        <x:v>対象：1.0.5(27)／証跡照合日2026-10-26。実施：利用者操作＋ログ/クラウド照合。1.0.5(27)再起動後、保存記録・地図・ログイン・停止状態を保持。名前入力再表示なし。</x:v>
      </x:c>
      <x:c r="P27" s="30" t="str">
        <x:v>E01 / E04 / E10</x:v>
      </x:c>
      <x:c r="Q27" s="4" t="str">
        <x:v>画面観察・録画＋操作時刻・端末ログ／読取APIを照合。</x:v>
      </x:c>
      <x:c r="R27" s="4" t="str">
        <x:v>評価は対象の現行ビルドだけ。旧版/検証版結果を現行OKへ繰り上げない。</x:v>
      </x:c>
      <x:c r="S27" s="4" t="str">
        <x:v>現行OK</x:v>
      </x:c>
      <x:c r="T27" s="4" t="str">
        <x:v>現行OK</x:v>
      </x:c>
      <x:c r="U27" s="4" t="str">
        <x:v>通常版1.0.5(11)＋ed51468 OTA：保存・破棄・再起動後の保持に合格。現行内蔵版の証拠は別記。 [E10]</x:v>
      </x:c>
      <x:c r="V27" s="4" t="str">
        <x:v>通常版1.0.5(26)＋ed51468 OTA：保存・破棄・再起動後の保持に合格。現行内蔵版の証拠は別記。 [E10]</x:v>
      </x:c>
      <x:c r="W27" s="4" t="str">
        <x:v>現行確認済み</x:v>
      </x:c>
      <x:c r="X27" s="4" t="str">
        <x:v>同じ成果物・OTA・本番差分が不変なら無目的に再実施しない。</x:v>
      </x:c>
      <x:c r="Y27" s="4" t="str">
        <x:v>A1 最優先</x:v>
      </x:c>
      <x:c r="Z27" s="4" t="str">
        <x:v>専用セッションでUI＋キュー件数/内容・クラウド/索引/集計を前後照合。遅延・応答喪失を隔離注入。</x:v>
      </x:c>
    </x:row>
    <x:row r="28" ht="105" customHeight="1">
      <x:c r="A28" s="6" t="n">
        <x:v>21</x:v>
      </x:c>
      <x:c r="B28" s="4" t="str">
        <x:v>02 保存・破棄・停止後復旧</x:v>
      </x:c>
      <x:c r="C28" s="4" t="str">
        <x:v>復旧</x:v>
      </x:c>
      <x:c r="D28" s="4" t="str">
        <x:v>破棄後の再起動</x:v>
      </x:c>
      <x:c r="E28" s="4" t="str">
        <x:v>名前入力・未完了表示・破棄対象が復活しない。</x:v>
      </x:c>
      <x:c r="F28" s="4" t="str">
        <x:v>手動実機テスト</x:v>
      </x:c>
      <x:c r="G28" s="7" t="str">
        <x:v>共通</x:v>
      </x:c>
      <x:c r="H28" s="7" t="str">
        <x:v>P0</x:v>
      </x:c>
      <x:c r="I28" s="4" t="str">
        <x:v>標準環境S1</x:v>
      </x:c>
      <x:c r="J28" s="4" t="str">
        <x:v>破棄完了後にアプリをスワイプ終了して再起動。</x:v>
      </x:c>
      <x:c r="K28" s="4" t="str">
        <x:v>同じ操作を両OSで個別に実施</x:v>
      </x:c>
      <x:c r="L28" s="29" t="str">
        <x:v>OK</x:v>
      </x:c>
      <x:c r="M28" s="29" t="str">
        <x:v>OK</x:v>
      </x:c>
      <x:c r="N28" s="30" t="str">
        <x:v>対象：1.0.5(12)／証跡照合日2026-10-26。実施：利用者操作＋ログ/クラウド照合。1.0.5(12)再起動後、破棄対象・名前入力・未完了表示が復活せず。</x:v>
      </x:c>
      <x:c r="O28" s="30" t="str">
        <x:v>対象：1.0.5(27)／証跡照合日2026-10-26。実施：利用者操作＋ログ/クラウド照合。1.0.5(27)再起動後、破棄対象・名前入力・未完了表示が復活せず。</x:v>
      </x:c>
      <x:c r="P28" s="30" t="str">
        <x:v>E01 / E03 / E04 / E10</x:v>
      </x:c>
      <x:c r="Q28" s="4" t="str">
        <x:v>画面観察・録画＋操作時刻・端末ログ／読取APIを照合。</x:v>
      </x:c>
      <x:c r="R28" s="4" t="str">
        <x:v>評価は対象の現行ビルドだけ。旧版/検証版結果を現行OKへ繰り上げない。</x:v>
      </x:c>
      <x:c r="S28" s="4" t="str">
        <x:v>現行OK</x:v>
      </x:c>
      <x:c r="T28" s="4" t="str">
        <x:v>現行OK</x:v>
      </x:c>
      <x:c r="U28" s="4" t="str">
        <x:v>通常版1.0.5(11)＋ed51468 OTA：保存・破棄・再起動後の保持に合格。現行内蔵版の証拠は別記。 [E10]</x:v>
      </x:c>
      <x:c r="V28" s="4" t="str">
        <x:v>通常版1.0.5(26)＋ed51468 OTA：保存・破棄・再起動後の保持に合格。現行内蔵版の証拠は別記。 [E10]</x:v>
      </x:c>
      <x:c r="W28" s="4" t="str">
        <x:v>現行確認済み</x:v>
      </x:c>
      <x:c r="X28" s="4" t="str">
        <x:v>同じ成果物・OTA・本番差分が不変なら無目的に再実施しない。</x:v>
      </x:c>
      <x:c r="Y28" s="4" t="str">
        <x:v>A1 最優先</x:v>
      </x:c>
      <x:c r="Z28" s="4" t="str">
        <x:v>専用セッションでUI＋キュー件数/内容・クラウド/索引/集計を前後照合。遅延・応答喪失を隔離注入。</x:v>
      </x:c>
    </x:row>
    <x:row r="29" ht="105" customHeight="1">
      <x:c r="A29" s="6" t="n">
        <x:v>22</x:v>
      </x:c>
      <x:c r="B29" s="4" t="str">
        <x:v>02 保存・破棄・停止後復旧</x:v>
      </x:c>
      <x:c r="C29" s="4" t="str">
        <x:v>上限停止</x:v>
      </x:c>
      <x:c r="D29" s="4" t="str">
        <x:v>FREEの2時間上限と復旧</x:v>
      </x:c>
      <x:c r="E29" s="4" t="str">
        <x:v>上限で記録停止。名前入力・上限案内が復元され、保存後は集計確定し再起動しても再入力を求めない。</x:v>
      </x:c>
      <x:c r="F29" s="4" t="str">
        <x:v>手動実機テスト</x:v>
      </x:c>
      <x:c r="G29" s="7" t="str">
        <x:v>共通</x:v>
      </x:c>
      <x:c r="H29" s="7" t="str">
        <x:v>P0</x:v>
      </x:c>
      <x:c r="I29" s="4" t="str">
        <x:v>S1＋FREE専用アカウント、2時間超待機</x:v>
      </x:c>
      <x:c r="J29" s="4" t="str">
        <x:v>FREEで2時間5分以上、USBなし・ロックで待機。開いて名前入力を確認し開き直した後保存。</x:v>
      </x:c>
      <x:c r="K29" s="4" t="str">
        <x:v>同じ操作を両OSで個別に実施</x:v>
      </x:c>
      <x:c r="L29" s="29" t="str">
        <x:v>未実施</x:v>
      </x:c>
      <x:c r="M29" s="29" t="str">
        <x:v>未実施</x:v>
      </x:c>
      <x:c r="N29" s="30" t="str">
        <x:v>現行ビルドで当該手順の実施証跡なし。過去結果と参考試験は右欄。</x:v>
      </x:c>
      <x:c r="O29" s="30" t="str">
        <x:v>現行ビルドで当該手順の実施証跡なし。過去結果と参考試験は右欄。</x:v>
      </x:c>
      <x:c r="P29" s="30" t="str">
        <x:v>E11 / E20 / E07</x:v>
      </x:c>
      <x:c r="Q29" s="4" t="str">
        <x:v>画面観察・録画＋操作時刻・端末ログ／読取APIを照合。</x:v>
      </x:c>
      <x:c r="R29" s="4" t="str">
        <x:v>ローカル80TS＋実SQLite12：冪等性・受信箱・停止復旧・再送／破棄を検証。現行実機の同条件試験ではない。 [E11,E20]</x:v>
      </x:c>
      <x:c r="S29" s="4" t="str">
        <x:v>API/ローカルのみ</x:v>
      </x:c>
      <x:c r="T29" s="4" t="str">
        <x:v>旧版/検証版のみ</x:v>
      </x:c>
      <x:c r="U29" s="4" t="str">
        <x:v>該当する過去の実機証跡を今回特定できず。未実施と断定せず未確認。</x:v>
      </x:c>
      <x:c r="V29" s="4" t="str">
        <x:v>検証104：2時間後の名前入力復元・341地点保存・再起動を確認。DURATION停止ログはUSB接続後。2時間ちょうどの背景全停止完了は未証明。 [E07]</x:v>
      </x:c>
      <x:c r="W29" s="4" t="str">
        <x:v>変更/障害時に追試</x:v>
      </x:c>
      <x:c r="X29" s="4" t="str">
        <x:v>未確認の全件を必須にはしない。変更範囲・重大度・障害発生に応じて選択。</x:v>
      </x:c>
      <x:c r="Y29" s="4" t="str">
        <x:v>手動中心</x:v>
      </x:c>
      <x:c r="Z29" s="4" t="str">
        <x:v>実移動・権限ダイアログ・課金確認は手動。ログ/時刻/件数収集と比較を補助自動化。</x:v>
      </x:c>
    </x:row>
    <x:row r="30" ht="105" customHeight="1">
      <x:c r="A30" s="6" t="n">
        <x:v>23</x:v>
      </x:c>
      <x:c r="B30" s="4" t="str">
        <x:v>02 保存・破棄・停止後復旧</x:v>
      </x:c>
      <x:c r="C30" s="4" t="str">
        <x:v>再開始</x:v>
      </x:c>
      <x:c r="D30" s="4" t="str">
        <x:v>上限停止の保存後に再開始</x:v>
      </x:c>
      <x:c r="E30" s="4" t="str">
        <x:v>新しいIDで開始でき、前回の上限フラグで即停止しない。</x:v>
      </x:c>
      <x:c r="F30" s="4" t="str">
        <x:v>自動実機テスト</x:v>
      </x:c>
      <x:c r="G30" s="7" t="str">
        <x:v>共通</x:v>
      </x:c>
      <x:c r="H30" s="7" t="str">
        <x:v>P0</x:v>
      </x:c>
      <x:c r="I30" s="4" t="str">
        <x:v>標準環境S1</x:v>
      </x:c>
      <x:c r="J30" s="4" t="str">
        <x:v>上限停止分を保存後、月間上限未到達で再び開始する。</x:v>
      </x:c>
      <x:c r="K30" s="4" t="str">
        <x:v>同じ操作を両OSで個別に実施</x:v>
      </x:c>
      <x:c r="L30" s="29" t="str">
        <x:v>未実施</x:v>
      </x:c>
      <x:c r="M30" s="29" t="str">
        <x:v>未実施</x:v>
      </x:c>
      <x:c r="N30" s="30" t="str">
        <x:v>現行ビルドで当該手順の実施証跡なし。過去結果と参考試験は右欄。</x:v>
      </x:c>
      <x:c r="O30" s="30" t="str">
        <x:v>現行ビルドで当該手順の実施証跡なし。過去結果と参考試験は右欄。</x:v>
      </x:c>
      <x:c r="P30" s="30" t="str">
        <x:v>E11 / E20 / E07</x:v>
      </x:c>
      <x:c r="Q30" s="4" t="str">
        <x:v>実機UI操作＋読取API／端末ログ照合。専用ドライバー整備後に実施。</x:v>
      </x:c>
      <x:c r="R30" s="4" t="str">
        <x:v>ローカル80TS＋実SQLite12：冪等性・受信箱・停止復旧・再送／破棄を検証。現行実機の同条件試験ではない。 [E11,E20]</x:v>
      </x:c>
      <x:c r="S30" s="4" t="str">
        <x:v>API/ローカルのみ</x:v>
      </x:c>
      <x:c r="T30" s="4" t="str">
        <x:v>旧版/検証版のみ</x:v>
      </x:c>
      <x:c r="U30" s="4" t="str">
        <x:v>該当する過去の実機証跡を今回特定できず。未実施と断定せず未確認。</x:v>
      </x:c>
      <x:c r="V30" s="4" t="str">
        <x:v>検証104／2026-10-24：保存・破棄・上限後の名前入力再表示・保存後再開を実機/API確認。現行27で同じシナリオを再実施したものではない。 [E07]</x:v>
      </x:c>
      <x:c r="W30" s="4" t="str">
        <x:v>変更/障害時に追試</x:v>
      </x:c>
      <x:c r="X30" s="4" t="str">
        <x:v>未確認の全件を必須にはしない。変更範囲・重大度・障害発生に応じて選択。</x:v>
      </x:c>
      <x:c r="Y30" s="4" t="str">
        <x:v>A1 最優先</x:v>
      </x:c>
      <x:c r="Z30" s="4" t="str">
        <x:v>専用セッションでUI＋キュー件数/内容・クラウド/索引/集計を前後照合。遅延・応答喪失を隔離注入。</x:v>
      </x:c>
    </x:row>
    <x:row r="31" ht="105" customHeight="1">
      <x:c r="A31" s="6" t="n">
        <x:v>24</x:v>
      </x:c>
      <x:c r="B31" s="4" t="str">
        <x:v>02 保存・破棄・停止後復旧</x:v>
      </x:c>
      <x:c r="C31" s="4" t="str">
        <x:v>ゼロ距離</x:v>
      </x:c>
      <x:c r="D31" s="4" t="str">
        <x:v>同一点の複数ログを保存</x:v>
      </x:c>
      <x:c r="E31" s="4" t="str">
        <x:v>距離0mでも時間と履歴は保存でき、経路線なしをエラー扱いしない。</x:v>
      </x:c>
      <x:c r="F31" s="4" t="str">
        <x:v>自動実機テスト</x:v>
      </x:c>
      <x:c r="G31" s="7" t="str">
        <x:v>共通</x:v>
      </x:c>
      <x:c r="H31" s="7" t="str">
        <x:v>P0</x:v>
      </x:c>
      <x:c r="I31" s="4" t="str">
        <x:v>S2＋同座標fixture</x:v>
      </x:c>
      <x:c r="J31" s="4" t="str">
        <x:v>同座標の複数時刻ログを持つ記録を停止・保存。</x:v>
      </x:c>
      <x:c r="K31" s="4" t="str">
        <x:v>同じ操作を両OSで個別に実施</x:v>
      </x:c>
      <x:c r="L31" s="29" t="str">
        <x:v>保留</x:v>
      </x:c>
      <x:c r="M31" s="29" t="str">
        <x:v>未実施</x:v>
      </x:c>
      <x:c r="N31" s="30" t="str">
        <x:v>対象：1.0.5(12)／証跡照合日2026-10-26。実施：利用者操作＋ログ/クラウド照合。1.0.5(12)の0m表示保存は確認。完全に同座標の専用fixtureかどうかは未証明。</x:v>
      </x:c>
      <x:c r="O31" s="30" t="str">
        <x:v>現行ビルドで当該手順の実施証跡なし。過去結果と参考試験は右欄。</x:v>
      </x:c>
      <x:c r="P31" s="30" t="str">
        <x:v>E01 / E02 / E12 / E13</x:v>
      </x:c>
      <x:c r="Q31" s="4" t="str">
        <x:v>実機UI操作＋読取API／端末ログ照合。専用ドライバー整備後に実施。</x:v>
      </x:c>
      <x:c r="R31" s="4" t="str">
        <x:v>原ログ時刻の空/1点/無効/順不同/日週月年境界と表示回帰をローカル検証。端末で境界fixtureを再現してはいない。 [E12,E13]</x:v>
      </x:c>
      <x:c r="S31" s="4" t="str">
        <x:v>現行部分確認</x:v>
      </x:c>
      <x:c r="T31" s="4" t="str">
        <x:v>API/ローカルのみ</x:v>
      </x:c>
      <x:c r="U31" s="4" t="str">
        <x:v>該当する過去の実機証跡を今回特定できず。未実施と断定せず未確認。</x:v>
      </x:c>
      <x:c r="V31" s="4" t="str">
        <x:v>該当する過去の実機証跡を今回特定できず。未実施と断定せず未確認。</x:v>
      </x:c>
      <x:c r="W31" s="4" t="str">
        <x:v>通常回帰・未確認</x:v>
      </x:c>
      <x:c r="X31" s="4" t="str">
        <x:v>未確認の全件を必須にはしない。変更範囲・重大度・障害発生に応じて選択。</x:v>
      </x:c>
      <x:c r="Y31" s="4" t="str">
        <x:v>A1 最優先</x:v>
      </x:c>
      <x:c r="Z31" s="4" t="str">
        <x:v>専用セッションでUI＋キュー件数/内容・クラウド/索引/集計を前後照合。遅延・応答喪失を隔離注入。</x:v>
      </x:c>
    </x:row>
    <x:row r="32" ht="105" customHeight="1">
      <x:c r="A32" s="6" t="n">
        <x:v>25</x:v>
      </x:c>
      <x:c r="B32" s="4" t="str">
        <x:v>02 保存・破棄・停止後復旧</x:v>
      </x:c>
      <x:c r="C32" s="4" t="str">
        <x:v>境界</x:v>
      </x:c>
      <x:c r="D32" s="4" t="str">
        <x:v>地点が0件または1件の停止</x:v>
      </x:c>
      <x:c r="E32" s="4" t="str">
        <x:v>時刻・距離がNaNや負値にならず、保存可否の案内と実処理が一致する。未処理データを失わない。</x:v>
      </x:c>
      <x:c r="F32" s="4" t="str">
        <x:v>手動実機テスト</x:v>
      </x:c>
      <x:c r="G32" s="7" t="str">
        <x:v>共通</x:v>
      </x:c>
      <x:c r="H32" s="7" t="str">
        <x:v>P1</x:v>
      </x:c>
      <x:c r="I32" s="4" t="str">
        <x:v>標準環境S1</x:v>
      </x:c>
      <x:c r="J32" s="4" t="str">
        <x:v>測位前・初回測位直後にそれぞれ停止し、保存／破棄を試す。</x:v>
      </x:c>
      <x:c r="K32" s="4" t="str">
        <x:v>同じ操作を両OSで個別に実施</x:v>
      </x:c>
      <x:c r="L32" s="29" t="str">
        <x:v>未実施</x:v>
      </x:c>
      <x:c r="M32" s="29" t="str">
        <x:v>未実施</x:v>
      </x:c>
      <x:c r="N32" s="30" t="str">
        <x:v>現行ビルドで当該手順の実施証跡なし。過去結果と参考試験は右欄。</x:v>
      </x:c>
      <x:c r="O32" s="30" t="str">
        <x:v>現行ビルドで当該手順の実施証跡なし。過去結果と参考試験は右欄。</x:v>
      </x:c>
      <x:c r="P32" s="30" t="str">
        <x:v>E12 / E13</x:v>
      </x:c>
      <x:c r="Q32" s="4" t="str">
        <x:v>画面観察・録画＋操作時刻・端末ログ／読取APIを照合。</x:v>
      </x:c>
      <x:c r="R32" s="4" t="str">
        <x:v>原ログ時刻の空/1点/無効/順不同/日週月年境界と表示回帰をローカル検証。端末で境界fixtureを再現してはいない。 [E12,E13]</x:v>
      </x:c>
      <x:c r="S32" s="4" t="str">
        <x:v>API/ローカルのみ</x:v>
      </x:c>
      <x:c r="T32" s="4" t="str">
        <x:v>API/ローカルのみ</x:v>
      </x:c>
      <x:c r="U32" s="4" t="str">
        <x:v>該当する過去の実機証跡を今回特定できず。未実施と断定せず未確認。</x:v>
      </x:c>
      <x:c r="V32" s="4" t="str">
        <x:v>該当する過去の実機証跡を今回特定できず。未実施と断定せず未確認。</x:v>
      </x:c>
      <x:c r="W32" s="4" t="str">
        <x:v>変更/障害時に追試</x:v>
      </x:c>
      <x:c r="X32" s="4" t="str">
        <x:v>未確認の全件を必須にはしない。変更範囲・重大度・障害発生に応じて選択。</x:v>
      </x:c>
      <x:c r="Y32" s="4" t="str">
        <x:v>A1 最優先</x:v>
      </x:c>
      <x:c r="Z32" s="4" t="str">
        <x:v>専用セッションでUI＋キュー件数/内容・クラウド/索引/集計を前後照合。遅延・応答喪失を隔離注入。</x:v>
      </x:c>
    </x:row>
    <x:row r="33" ht="105" customHeight="1">
      <x:c r="A33" s="9" t="n">
        <x:v>26</x:v>
      </x:c>
      <x:c r="B33" s="10" t="str">
        <x:v>03 バックグラウンド・再送</x:v>
      </x:c>
      <x:c r="C33" s="10" t="str">
        <x:v>背景記録</x:v>
      </x:c>
      <x:c r="D33" s="10" t="str">
        <x:v>Androidロック65分</x:v>
      </x:c>
      <x:c r="E33" s="10" t="str">
        <x:v>背景で地点保存が継続。受信箱・キューに欠落や重複がなく、送信遅延の最大値も記録する。</x:v>
      </x:c>
      <x:c r="F33" s="10" t="str">
        <x:v>手動実機テスト</x:v>
      </x:c>
      <x:c r="G33" s="11" t="str">
        <x:v>Android</x:v>
      </x:c>
      <x:c r="H33" s="11" t="str">
        <x:v>P0</x:v>
      </x:c>
      <x:c r="I33" s="10" t="str">
        <x:v>S1＋時刻同期・API観測</x:v>
      </x:c>
      <x:c r="J33" s="10" t="str">
        <x:v>記録開始後USBを抜き、無充電・ロックで65分待機。解除前API観測と接続後ログを照合。</x:v>
      </x:c>
      <x:c r="K33" s="10" t="str">
        <x:v>AndroidのNative受信箱・ジョブ／JS接続状態も照合</x:v>
      </x:c>
      <x:c r="L33" s="29" t="str">
        <x:v>対象外</x:v>
      </x:c>
      <x:c r="M33" s="29" t="str">
        <x:v>未実施</x:v>
      </x:c>
      <x:c r="N33" s="30" t="str">
        <x:v>非対象</x:v>
      </x:c>
      <x:c r="O33" s="30" t="str">
        <x:v>現行ビルドで当該手順の実施証跡なし。過去結果と参考試験は右欄。</x:v>
      </x:c>
      <x:c r="P33" s="30" t="str">
        <x:v>E07</x:v>
      </x:c>
      <x:c r="Q33" s="4" t="str">
        <x:v>画面観察・録画＋操作時刻・端末ログ／読取APIを照合。</x:v>
      </x:c>
      <x:c r="R33" s="4" t="str">
        <x:v>評価は対象の現行ビルドだけ。旧版/検証版結果を現行OKへ繰り上げない。</x:v>
      </x:c>
      <x:c r="S33" s="4" t="str">
        <x:v>非対象</x:v>
      </x:c>
      <x:c r="T33" s="4" t="str">
        <x:v>旧版/検証版のみ</x:v>
      </x:c>
      <x:c r="U33" s="4" t="str">
        <x:v>該当する過去の実機証跡を今回特定できず。未実施と断定せず未確認。</x:v>
      </x:c>
      <x:c r="V33" s="4" t="str">
        <x:v>検証104：65+55分静置、341地点／重複0。連続API観測は64.521分・256回・エラー0で120分連続観測ではない。最大保存遅延17.488秒。 [E07]</x:v>
      </x:c>
      <x:c r="W33" s="4" t="str">
        <x:v>公開前必須残（最小確認案）</x:v>
      </x:c>
      <x:c r="X33" s="4" t="str">
        <x:v>「残テスト・自動化」のG1〜G7で対象OSと手順を確認。関連Noの全組合せが完了するとは限らない。</x:v>
      </x:c>
      <x:c r="Y33" s="4" t="str">
        <x:v>手動中心</x:v>
      </x:c>
      <x:c r="Z33" s="4" t="str">
        <x:v>実移動・権限ダイアログ・課金確認は手動。ログ/時刻/件数収集と比較を補助自動化。</x:v>
      </x:c>
    </x:row>
    <x:row r="34" ht="105" customHeight="1">
      <x:c r="A34" s="6" t="n">
        <x:v>27</x:v>
      </x:c>
      <x:c r="B34" s="4" t="str">
        <x:v>03 バックグラウンド・再送</x:v>
      </x:c>
      <x:c r="C34" s="4" t="str">
        <x:v>背景記録</x:v>
      </x:c>
      <x:c r="D34" s="4" t="str">
        <x:v>iOSロック65分</x:v>
      </x:c>
      <x:c r="E34" s="4" t="str">
        <x:v>記録が継続し、未送信は復帰後に配送。静置中の測位間隔と送信遅延を分離して記録する。</x:v>
      </x:c>
      <x:c r="F34" s="4" t="str">
        <x:v>手動実機テスト</x:v>
      </x:c>
      <x:c r="G34" s="7" t="str">
        <x:v>iOS</x:v>
      </x:c>
      <x:c r="H34" s="7" t="str">
        <x:v>P0</x:v>
      </x:c>
      <x:c r="I34" s="4" t="str">
        <x:v>S1＋時刻同期・API観測</x:v>
      </x:c>
      <x:c r="J34" s="4" t="str">
        <x:v>記録開始後USBを抜き、無充電・ロックで65分待機。解除前APIと接続後ログを照合。</x:v>
      </x:c>
      <x:c r="K34" s="4" t="str">
        <x:v>Xcodeデバッガーから離してホームから起動。OSによる測位間隔変動を記録</x:v>
      </x:c>
      <x:c r="L34" s="29" t="str">
        <x:v>未実施</x:v>
      </x:c>
      <x:c r="M34" s="29" t="str">
        <x:v>対象外</x:v>
      </x:c>
      <x:c r="N34" s="30" t="str">
        <x:v>現行ビルドで当該手順の実施証跡なし。過去結果と参考試験は右欄。</x:v>
      </x:c>
      <x:c r="O34" s="30" t="str">
        <x:v>非対象</x:v>
      </x:c>
      <x:c r="P34" s="30" t="str">
        <x:v>E08</x:v>
      </x:c>
      <x:c r="Q34" s="4" t="str">
        <x:v>画面観察・録画＋操作時刻・端末ログ／読取APIを照合。</x:v>
      </x:c>
      <x:c r="R34" s="4" t="str">
        <x:v>評価は対象の現行ビルドだけ。旧版/検証版結果を現行OKへ繰り上げない。</x:v>
      </x:c>
      <x:c r="S34" s="4" t="str">
        <x:v>旧版/検証版のみ</x:v>
      </x:c>
      <x:c r="T34" s="4" t="str">
        <x:v>非対象</x:v>
      </x:c>
      <x:c r="U34" s="4" t="str">
        <x:v>iOS検証104診断追加版：USBなし・無充電・ロック65分超。248点観測、最終252点／重複0。最大保存遅延30.832秒、保存・共有停止正常。 [E08]</x:v>
      </x:c>
      <x:c r="V34" s="4" t="str">
        <x:v>該当する過去の実機証跡を今回特定できず。未実施と断定せず未確認。</x:v>
      </x:c>
      <x:c r="W34" s="4" t="str">
        <x:v>公開前必須残（最小確認案）</x:v>
      </x:c>
      <x:c r="X34" s="4" t="str">
        <x:v>「残テスト・自動化」のG1〜G7で対象OSと手順を確認。関連Noの全組合せが完了するとは限らない。</x:v>
      </x:c>
      <x:c r="Y34" s="4" t="str">
        <x:v>手動中心</x:v>
      </x:c>
      <x:c r="Z34" s="4" t="str">
        <x:v>実移動・権限ダイアログ・課金確認は手動。ログ/時刻/件数収集と比較を補助自動化。</x:v>
      </x:c>
    </x:row>
    <x:row r="35" ht="105" customHeight="1">
      <x:c r="A35" s="6" t="n">
        <x:v>28</x:v>
      </x:c>
      <x:c r="B35" s="4" t="str">
        <x:v>03 バックグラウンド・再送</x:v>
      </x:c>
      <x:c r="C35" s="4" t="str">
        <x:v>背景記録</x:v>
      </x:c>
      <x:c r="D35" s="4" t="str">
        <x:v>ロック中の実移動</x:v>
      </x:c>
      <x:c r="E35" s="4" t="str">
        <x:v>移動区間の地点が保存され、解除後に途切れ・重複・別セッション混入がない。</x:v>
      </x:c>
      <x:c r="F35" s="4" t="str">
        <x:v>手動実機テスト</x:v>
      </x:c>
      <x:c r="G35" s="7" t="str">
        <x:v>共通</x:v>
      </x:c>
      <x:c r="H35" s="7" t="str">
        <x:v>P0</x:v>
      </x:c>
      <x:c r="I35" s="4" t="str">
        <x:v>標準環境S1</x:v>
      </x:c>
      <x:c r="J35" s="4" t="str">
        <x:v>USBなし・ロックのまま安全な屋外を50〜100m歩き、移動時刻を記録する。</x:v>
      </x:c>
      <x:c r="K35" s="4" t="str">
        <x:v>同じ操作を両OSで個別に実施</x:v>
      </x:c>
      <x:c r="L35" s="29" t="str">
        <x:v>未実施</x:v>
      </x:c>
      <x:c r="M35" s="29" t="str">
        <x:v>未実施</x:v>
      </x:c>
      <x:c r="N35" s="30" t="str">
        <x:v>現行ビルドで当該手順の実施証跡なし。過去結果と参考試験は右欄。</x:v>
      </x:c>
      <x:c r="O35" s="30" t="str">
        <x:v>現行ビルドで当該手順の実施証跡なし。過去結果と参考試験は右欄。</x:v>
      </x:c>
      <x:c r="P35" s="30" t="str">
        <x:v>E07 / E18</x:v>
      </x:c>
      <x:c r="Q35" s="4" t="str">
        <x:v>画面観察・録画＋操作時刻・端末ログ／読取APIを照合。</x:v>
      </x:c>
      <x:c r="R35" s="4" t="str">
        <x:v>評価は対象の現行ビルドだけ。旧版/検証版結果を現行OKへ繰り上げない。</x:v>
      </x:c>
      <x:c r="S35" s="4" t="str">
        <x:v>旧版/検証版のみ</x:v>
      </x:c>
      <x:c r="T35" s="4" t="str">
        <x:v>旧版/検証版のみ</x:v>
      </x:c>
      <x:c r="U35" s="4" t="str">
        <x:v>診断前iOS検証104：ロック移動後に地点増加・共有API更新。最大278.818秒遅延もあり即時性の完全合格ではない。 [E07,E18]</x:v>
      </x:c>
      <x:c r="V35" s="4" t="str">
        <x:v>検証104：共有元をロックして実移動、96地点371m保存。閲覧側動画の移動反映を確認。 [E07]</x:v>
      </x:c>
      <x:c r="W35" s="4" t="str">
        <x:v>通常回帰・未確認</x:v>
      </x:c>
      <x:c r="X35" s="4" t="str">
        <x:v>未確認の全件を必須にはしない。変更範囲・重大度・障害発生に応じて選択。</x:v>
      </x:c>
      <x:c r="Y35" s="4" t="str">
        <x:v>手動中心</x:v>
      </x:c>
      <x:c r="Z35" s="4" t="str">
        <x:v>実移動・権限ダイアログ・課金確認は手動。ログ/時刻/件数収集と比較を補助自動化。</x:v>
      </x:c>
    </x:row>
    <x:row r="36" ht="105" customHeight="1">
      <x:c r="A36" s="6" t="n">
        <x:v>29</x:v>
      </x:c>
      <x:c r="B36" s="4" t="str">
        <x:v>03 バックグラウンド・再送</x:v>
      </x:c>
      <x:c r="C36" s="4" t="str">
        <x:v>復帰</x:v>
      </x:c>
      <x:c r="D36" s="4" t="str">
        <x:v>背景から前面へ戻る</x:v>
      </x:c>
      <x:c r="E36" s="4" t="str">
        <x:v>同じ記録が継続し、前面・背景の切替で保存が二重化しない。</x:v>
      </x:c>
      <x:c r="F36" s="4" t="str">
        <x:v>手動実機テスト</x:v>
      </x:c>
      <x:c r="G36" s="7" t="str">
        <x:v>共通</x:v>
      </x:c>
      <x:c r="H36" s="7" t="str">
        <x:v>P0</x:v>
      </x:c>
      <x:c r="I36" s="4" t="str">
        <x:v>標準環境S1</x:v>
      </x:c>
      <x:c r="J36" s="4" t="str">
        <x:v>記録中にホームへ戻し5分待機後、アプリを前面へ戻す。</x:v>
      </x:c>
      <x:c r="K36" s="4" t="str">
        <x:v>同じ操作を両OSで個別に実施</x:v>
      </x:c>
      <x:c r="L36" s="29" t="str">
        <x:v>未実施</x:v>
      </x:c>
      <x:c r="M36" s="29" t="str">
        <x:v>未実施</x:v>
      </x:c>
      <x:c r="N36" s="30" t="str">
        <x:v>現行ビルドで当該手順の実施証跡なし。過去結果と参考試験は右欄。</x:v>
      </x:c>
      <x:c r="O36" s="30" t="str">
        <x:v>現行ビルドで当該手順の実施証跡なし。過去結果と参考試験は右欄。</x:v>
      </x:c>
      <x:c r="P36" s="30" t="str">
        <x:v>未採番：該当証跡未特定</x:v>
      </x:c>
      <x:c r="Q36" s="4" t="str">
        <x:v>画面観察・録画＋操作時刻・端末ログ／読取APIを照合。</x:v>
      </x:c>
      <x:c r="R36" s="4" t="str">
        <x:v>評価は対象の現行ビルドだけ。旧版/検証版結果を現行OKへ繰り上げない。</x:v>
      </x:c>
      <x:c r="S36" s="4" t="str">
        <x:v>未確認</x:v>
      </x:c>
      <x:c r="T36" s="4" t="str">
        <x:v>未確認</x:v>
      </x:c>
      <x:c r="U36" s="4" t="str">
        <x:v>該当する過去の実機証跡を今回特定できず。未実施と断定せず未確認。</x:v>
      </x:c>
      <x:c r="V36" s="4" t="str">
        <x:v>該当する過去の実機証跡を今回特定できず。未実施と断定せず未確認。</x:v>
      </x:c>
      <x:c r="W36" s="4" t="str">
        <x:v>通常回帰・未確認</x:v>
      </x:c>
      <x:c r="X36" s="4" t="str">
        <x:v>未確認の全件を必須にはしない。変更範囲・重大度・障害発生に応じて選択。</x:v>
      </x:c>
      <x:c r="Y36" s="4" t="str">
        <x:v>手動中心</x:v>
      </x:c>
      <x:c r="Z36" s="4" t="str">
        <x:v>実移動・権限ダイアログ・課金確認は手動。ログ/時刻/件数収集と比較を補助自動化。</x:v>
      </x:c>
    </x:row>
    <x:row r="37" ht="105" customHeight="1">
      <x:c r="A37" s="6" t="n">
        <x:v>30</x:v>
      </x:c>
      <x:c r="B37" s="4" t="str">
        <x:v>03 バックグラウンド・再送</x:v>
      </x:c>
      <x:c r="C37" s="4" t="str">
        <x:v>再送</x:v>
      </x:c>
      <x:c r="D37" s="4" t="str">
        <x:v>オフライン中の記録</x:v>
      </x:c>
      <x:c r="E37" s="4" t="str">
        <x:v>端末キューで保持し、復帰後に同じID・時刻の地点を重複なく送信する。</x:v>
      </x:c>
      <x:c r="F37" s="4" t="str">
        <x:v>手動実機テスト</x:v>
      </x:c>
      <x:c r="G37" s="7" t="str">
        <x:v>共通</x:v>
      </x:c>
      <x:c r="H37" s="7" t="str">
        <x:v>P0</x:v>
      </x:c>
      <x:c r="I37" s="4" t="str">
        <x:v>S2＋通信切断</x:v>
      </x:c>
      <x:c r="J37" s="4" t="str">
        <x:v>開始後に通信を切り、2分記録して通信を復帰させる。</x:v>
      </x:c>
      <x:c r="K37" s="4" t="str">
        <x:v>同じ操作を両OSで個別に実施</x:v>
      </x:c>
      <x:c r="L37" s="29" t="str">
        <x:v>未実施</x:v>
      </x:c>
      <x:c r="M37" s="29" t="str">
        <x:v>未実施</x:v>
      </x:c>
      <x:c r="N37" s="30" t="str">
        <x:v>現行ビルドで当該手順の実施証跡なし。過去結果と参考試験は右欄。</x:v>
      </x:c>
      <x:c r="O37" s="30" t="str">
        <x:v>現行ビルドで当該手順の実施証跡なし。過去結果と参考試験は右欄。</x:v>
      </x:c>
      <x:c r="P37" s="30" t="str">
        <x:v>E11 / E20</x:v>
      </x:c>
      <x:c r="Q37" s="4" t="str">
        <x:v>画面観察・録画＋操作時刻・端末ログ／読取APIを照合。</x:v>
      </x:c>
      <x:c r="R37" s="4" t="str">
        <x:v>ローカル80TS＋実SQLite12：冪等性・受信箱・停止復旧・再送／破棄を検証。現行実機の同条件試験ではない。 [E11,E20]</x:v>
      </x:c>
      <x:c r="S37" s="4" t="str">
        <x:v>API/ローカルのみ</x:v>
      </x:c>
      <x:c r="T37" s="4" t="str">
        <x:v>API/ローカルのみ</x:v>
      </x:c>
      <x:c r="U37" s="4" t="str">
        <x:v>該当する過去の実機証跡を今回特定できず。未実施と断定せず未確認。</x:v>
      </x:c>
      <x:c r="V37" s="4" t="str">
        <x:v>該当する過去の実機証跡を今回特定できず。未実施と断定せず未確認。</x:v>
      </x:c>
      <x:c r="W37" s="4" t="str">
        <x:v>公開前必須残（最小確認案）</x:v>
      </x:c>
      <x:c r="X37" s="4" t="str">
        <x:v>「残テスト・自動化」のG1〜G7で対象OSと手順を確認。関連Noの全組合せが完了するとは限らない。</x:v>
      </x:c>
      <x:c r="Y37" s="4" t="str">
        <x:v>A1 最優先</x:v>
      </x:c>
      <x:c r="Z37" s="4" t="str">
        <x:v>専用セッションでUI＋キュー件数/内容・クラウド/索引/集計を前後照合。遅延・応答喪失を隔離注入。</x:v>
      </x:c>
    </x:row>
    <x:row r="38" ht="105" customHeight="1">
      <x:c r="A38" s="6" t="n">
        <x:v>31</x:v>
      </x:c>
      <x:c r="B38" s="4" t="str">
        <x:v>03 バックグラウンド・再送</x:v>
      </x:c>
      <x:c r="C38" s="4" t="str">
        <x:v>再送</x:v>
      </x:c>
      <x:c r="D38" s="4" t="str">
        <x:v>タイムアウト後の同一点再送</x:v>
      </x:c>
      <x:c r="E38" s="4" t="str">
        <x:v>同一地点の重複登録や集計二重加算がなく、最終状態が一致する。</x:v>
      </x:c>
      <x:c r="F38" s="4" t="str">
        <x:v>自動実機テスト</x:v>
      </x:c>
      <x:c r="G38" s="7" t="str">
        <x:v>共通</x:v>
      </x:c>
      <x:c r="H38" s="7" t="str">
        <x:v>P0</x:v>
      </x:c>
      <x:c r="I38" s="4" t="str">
        <x:v>S2＋隔離環境の応答障害注入</x:v>
      </x:c>
      <x:c r="J38" s="4" t="str">
        <x:v>サーバー受付後に応答だけを失う障害を専用環境で再現し、再送させる。</x:v>
      </x:c>
      <x:c r="K38" s="4" t="str">
        <x:v>同じ操作を両OSで個別に実施</x:v>
      </x:c>
      <x:c r="L38" s="29" t="str">
        <x:v>未実施</x:v>
      </x:c>
      <x:c r="M38" s="29" t="str">
        <x:v>未実施</x:v>
      </x:c>
      <x:c r="N38" s="30" t="str">
        <x:v>現行ビルドで当該手順の実施証跡なし。過去結果と参考試験は右欄。</x:v>
      </x:c>
      <x:c r="O38" s="30" t="str">
        <x:v>現行ビルドで当該手順の実施証跡なし。過去結果と参考試験は右欄。</x:v>
      </x:c>
      <x:c r="P38" s="30" t="str">
        <x:v>E11 / E20</x:v>
      </x:c>
      <x:c r="Q38" s="4" t="str">
        <x:v>実機UI操作＋読取API／端末ログ照合。専用ドライバー整備後に実施。</x:v>
      </x:c>
      <x:c r="R38" s="4" t="str">
        <x:v>ローカル80TS＋実SQLite12：冪等性・受信箱・停止復旧・再送／破棄を検証。現行実機の同条件試験ではない。 [E11,E20]</x:v>
      </x:c>
      <x:c r="S38" s="4" t="str">
        <x:v>API/ローカルのみ</x:v>
      </x:c>
      <x:c r="T38" s="4" t="str">
        <x:v>API/ローカルのみ</x:v>
      </x:c>
      <x:c r="U38" s="4" t="str">
        <x:v>該当する過去の実機証跡を今回特定できず。未実施と断定せず未確認。</x:v>
      </x:c>
      <x:c r="V38" s="4" t="str">
        <x:v>該当する過去の実機証跡を今回特定できず。未実施と断定せず未確認。</x:v>
      </x:c>
      <x:c r="W38" s="4" t="str">
        <x:v>変更/障害時に追試</x:v>
      </x:c>
      <x:c r="X38" s="4" t="str">
        <x:v>未確認の全件を必須にはしない。変更範囲・重大度・障害発生に応じて選択。</x:v>
      </x:c>
      <x:c r="Y38" s="4" t="str">
        <x:v>A1 最優先</x:v>
      </x:c>
      <x:c r="Z38" s="4" t="str">
        <x:v>専用セッションでUI＋キュー件数/内容・クラウド/索引/集計を前後照合。遅延・応答喪失を隔離注入。</x:v>
      </x:c>
    </x:row>
    <x:row r="39" ht="105" customHeight="1">
      <x:c r="A39" s="6" t="n">
        <x:v>32</x:v>
      </x:c>
      <x:c r="B39" s="4" t="str">
        <x:v>03 バックグラウンド・再送</x:v>
      </x:c>
      <x:c r="C39" s="4" t="str">
        <x:v>再送</x:v>
      </x:c>
      <x:c r="D39" s="4" t="str">
        <x:v>通信失敗中のアプリ再起動</x:v>
      </x:c>
      <x:c r="E39" s="4" t="str">
        <x:v>未送信のID・内容を保持し、再送完了後のみ送信済みになる。</x:v>
      </x:c>
      <x:c r="F39" s="4" t="str">
        <x:v>手動実機テスト</x:v>
      </x:c>
      <x:c r="G39" s="7" t="str">
        <x:v>共通</x:v>
      </x:c>
      <x:c r="H39" s="7" t="str">
        <x:v>P0</x:v>
      </x:c>
      <x:c r="I39" s="4" t="str">
        <x:v>S2＋通信切断</x:v>
      </x:c>
      <x:c r="J39" s="4" t="str">
        <x:v>未送信を用意し、アプリ終了・再起動後に通信を復帰させる。</x:v>
      </x:c>
      <x:c r="K39" s="4" t="str">
        <x:v>同じ操作を両OSで個別に実施</x:v>
      </x:c>
      <x:c r="L39" s="29" t="str">
        <x:v>未実施</x:v>
      </x:c>
      <x:c r="M39" s="29" t="str">
        <x:v>未実施</x:v>
      </x:c>
      <x:c r="N39" s="30" t="str">
        <x:v>現行ビルドで当該手順の実施証跡なし。過去結果と参考試験は右欄。</x:v>
      </x:c>
      <x:c r="O39" s="30" t="str">
        <x:v>現行ビルドで当該手順の実施証跡なし。過去結果と参考試験は右欄。</x:v>
      </x:c>
      <x:c r="P39" s="30" t="str">
        <x:v>E11 / E20</x:v>
      </x:c>
      <x:c r="Q39" s="4" t="str">
        <x:v>画面観察・録画＋操作時刻・端末ログ／読取APIを照合。</x:v>
      </x:c>
      <x:c r="R39" s="4" t="str">
        <x:v>ローカル80TS＋実SQLite12：冪等性・受信箱・停止復旧・再送／破棄を検証。現行実機の同条件試験ではない。 [E11,E20]</x:v>
      </x:c>
      <x:c r="S39" s="4" t="str">
        <x:v>API/ローカルのみ</x:v>
      </x:c>
      <x:c r="T39" s="4" t="str">
        <x:v>API/ローカルのみ</x:v>
      </x:c>
      <x:c r="U39" s="4" t="str">
        <x:v>該当する過去の実機証跡を今回特定できず。未実施と断定せず未確認。</x:v>
      </x:c>
      <x:c r="V39" s="4" t="str">
        <x:v>該当する過去の実機証跡を今回特定できず。未実施と断定せず未確認。</x:v>
      </x:c>
      <x:c r="W39" s="4" t="str">
        <x:v>公開前必須残（最小確認案）</x:v>
      </x:c>
      <x:c r="X39" s="4" t="str">
        <x:v>「残テスト・自動化」のG1〜G7で対象OSと手順を確認。関連Noの全組合せが完了するとは限らない。</x:v>
      </x:c>
      <x:c r="Y39" s="4" t="str">
        <x:v>A1 最優先</x:v>
      </x:c>
      <x:c r="Z39" s="4" t="str">
        <x:v>専用セッションでUI＋キュー件数/内容・クラウド/索引/集計を前後照合。遅延・応答喪失を隔離注入。</x:v>
      </x:c>
    </x:row>
    <x:row r="40" ht="105" customHeight="1">
      <x:c r="A40" s="6" t="n">
        <x:v>33</x:v>
      </x:c>
      <x:c r="B40" s="4" t="str">
        <x:v>03 バックグラウンド・再送</x:v>
      </x:c>
      <x:c r="C40" s="4" t="str">
        <x:v>再送</x:v>
      </x:c>
      <x:c r="D40" s="4" t="str">
        <x:v>記録停止後に未送信を配送</x:v>
      </x:c>
      <x:c r="E40" s="4" t="str">
        <x:v>停止済みでも対象記録へ配送し、別の新規記録に混入しない。</x:v>
      </x:c>
      <x:c r="F40" s="4" t="str">
        <x:v>手動実機テスト</x:v>
      </x:c>
      <x:c r="G40" s="7" t="str">
        <x:v>共通</x:v>
      </x:c>
      <x:c r="H40" s="7" t="str">
        <x:v>P0</x:v>
      </x:c>
      <x:c r="I40" s="4" t="str">
        <x:v>S2＋通信切断</x:v>
      </x:c>
      <x:c r="J40" s="4" t="str">
        <x:v>オフライン中に停止・保存し、ネットワークを復帰させる。</x:v>
      </x:c>
      <x:c r="K40" s="4" t="str">
        <x:v>同じ操作を両OSで個別に実施</x:v>
      </x:c>
      <x:c r="L40" s="29" t="str">
        <x:v>未実施</x:v>
      </x:c>
      <x:c r="M40" s="29" t="str">
        <x:v>未実施</x:v>
      </x:c>
      <x:c r="N40" s="30" t="str">
        <x:v>現行ビルドで当該手順の実施証跡なし。過去結果と参考試験は右欄。</x:v>
      </x:c>
      <x:c r="O40" s="30" t="str">
        <x:v>現行ビルドで当該手順の実施証跡なし。過去結果と参考試験は右欄。</x:v>
      </x:c>
      <x:c r="P40" s="30" t="str">
        <x:v>E11 / E20</x:v>
      </x:c>
      <x:c r="Q40" s="4" t="str">
        <x:v>画面観察・録画＋操作時刻・端末ログ／読取APIを照合。</x:v>
      </x:c>
      <x:c r="R40" s="4" t="str">
        <x:v>ローカル80TS＋実SQLite12：冪等性・受信箱・停止復旧・再送／破棄を検証。現行実機の同条件試験ではない。 [E11,E20]</x:v>
      </x:c>
      <x:c r="S40" s="4" t="str">
        <x:v>API/ローカルのみ</x:v>
      </x:c>
      <x:c r="T40" s="4" t="str">
        <x:v>API/ローカルのみ</x:v>
      </x:c>
      <x:c r="U40" s="4" t="str">
        <x:v>該当する過去の実機証跡を今回特定できず。未実施と断定せず未確認。</x:v>
      </x:c>
      <x:c r="V40" s="4" t="str">
        <x:v>該当する過去の実機証跡を今回特定できず。未実施と断定せず未確認。</x:v>
      </x:c>
      <x:c r="W40" s="4" t="str">
        <x:v>公開前必須残（最小確認案）</x:v>
      </x:c>
      <x:c r="X40" s="4" t="str">
        <x:v>「残テスト・自動化」のG1〜G7で対象OSと手順を確認。関連Noの全組合せが完了するとは限らない。</x:v>
      </x:c>
      <x:c r="Y40" s="4" t="str">
        <x:v>A1 最優先</x:v>
      </x:c>
      <x:c r="Z40" s="4" t="str">
        <x:v>専用セッションでUI＋キュー件数/内容・クラウド/索引/集計を前後照合。遅延・応答喪失を隔離注入。</x:v>
      </x:c>
    </x:row>
    <x:row r="41" ht="105" customHeight="1">
      <x:c r="A41" s="6" t="n">
        <x:v>34</x:v>
      </x:c>
      <x:c r="B41" s="4" t="str">
        <x:v>03 バックグラウンド・再送</x:v>
      </x:c>
      <x:c r="C41" s="4" t="str">
        <x:v>受信箱</x:v>
      </x:c>
      <x:c r="D41" s="4" t="str">
        <x:v>NativeとJSの受信競合</x:v>
      </x:c>
      <x:c r="E41" s="4" t="str">
        <x:v>共通基準地点を用い、同一点を複数経路から二重保存しない。受信処理が完了する。</x:v>
      </x:c>
      <x:c r="F41" s="4" t="str">
        <x:v>自動実機テスト</x:v>
      </x:c>
      <x:c r="G41" s="7" t="str">
        <x:v>Android</x:v>
      </x:c>
      <x:c r="H41" s="7" t="str">
        <x:v>P0</x:v>
      </x:c>
      <x:c r="I41" s="4" t="str">
        <x:v>S2＋Native／JS観測</x:v>
      </x:c>
      <x:c r="J41" s="4" t="str">
        <x:v>Androidで前面・背景を往復し、同じイベントの受信と完了ログを照合。</x:v>
      </x:c>
      <x:c r="K41" s="4" t="str">
        <x:v>Android専用の受信箱・完了通知経路を確認</x:v>
      </x:c>
      <x:c r="L41" s="29" t="str">
        <x:v>対象外</x:v>
      </x:c>
      <x:c r="M41" s="29" t="str">
        <x:v>未実施</x:v>
      </x:c>
      <x:c r="N41" s="30" t="str">
        <x:v>非対象</x:v>
      </x:c>
      <x:c r="O41" s="30" t="str">
        <x:v>現行ビルドで当該手順の実施証跡なし。過去結果と参考試験は右欄。</x:v>
      </x:c>
      <x:c r="P41" s="30" t="str">
        <x:v>E11 / E20 / E07 / E12</x:v>
      </x:c>
      <x:c r="Q41" s="4" t="str">
        <x:v>実機UI操作＋読取API／端末ログ照合。専用ドライバー整備後に実施。</x:v>
      </x:c>
      <x:c r="R41" s="4" t="str">
        <x:v>ローカル80TS＋実SQLite12：冪等性・受信箱・停止復旧・再送／破棄を検証。現行実機の同条件試験ではない。 [E11,E20]</x:v>
      </x:c>
      <x:c r="S41" s="4" t="str">
        <x:v>非対象</x:v>
      </x:c>
      <x:c r="T41" s="4" t="str">
        <x:v>旧版/検証版のみ</x:v>
      </x:c>
      <x:c r="U41" s="4" t="str">
        <x:v>該当する過去の実機証跡を今回特定できず。未実施と断定せず未確認。</x:v>
      </x:c>
      <x:c r="V41" s="4" t="str">
        <x:v>検証104でNative→JS完了と初回15件、完全停止後の再開始を確認。全競合条件は主にローカル試験。 [E07,E11,E12]</x:v>
      </x:c>
      <x:c r="W41" s="4" t="str">
        <x:v>変更/障害時に追試</x:v>
      </x:c>
      <x:c r="X41" s="4" t="str">
        <x:v>未確認の全件を必須にはしない。変更範囲・重大度・障害発生に応じて選択。</x:v>
      </x:c>
      <x:c r="Y41" s="4" t="str">
        <x:v>A1 最優先</x:v>
      </x:c>
      <x:c r="Z41" s="4" t="str">
        <x:v>専用セッションでUI＋キュー件数/内容・クラウド/索引/集計を前後照合。遅延・応答喪失を隔離注入。</x:v>
      </x:c>
    </x:row>
    <x:row r="42" ht="105" customHeight="1">
      <x:c r="A42" s="6" t="n">
        <x:v>35</x:v>
      </x:c>
      <x:c r="B42" s="4" t="str">
        <x:v>03 バックグラウンド・再送</x:v>
      </x:c>
      <x:c r="C42" s="4" t="str">
        <x:v>電池設定</x:v>
      </x:c>
      <x:c r="D42" s="4" t="str">
        <x:v>Android最適化対象での継続</x:v>
      </x:c>
      <x:c r="E42" s="4" t="str">
        <x:v>取得・配送の挙動を記録し、復帰時にキュー欠落なし。測位不能時は保存成功を偽装しない。</x:v>
      </x:c>
      <x:c r="F42" s="4" t="str">
        <x:v>手動実機テスト</x:v>
      </x:c>
      <x:c r="G42" s="7" t="str">
        <x:v>Android</x:v>
      </x:c>
      <x:c r="H42" s="7" t="str">
        <x:v>P1</x:v>
      </x:c>
      <x:c r="I42" s="4" t="str">
        <x:v>専用検証アプリ・設定復元可能</x:v>
      </x:c>
      <x:c r="J42" s="4" t="str">
        <x:v>変更前設定を控え、検証アプリだけ最適化対象にしてロック待機し、終了後に復元。</x:v>
      </x:c>
      <x:c r="K42" s="4" t="str">
        <x:v>通常版や他アプリの電池設定を変更しない</x:v>
      </x:c>
      <x:c r="L42" s="29" t="str">
        <x:v>対象外</x:v>
      </x:c>
      <x:c r="M42" s="29" t="str">
        <x:v>未実施</x:v>
      </x:c>
      <x:c r="N42" s="30" t="str">
        <x:v>非対象</x:v>
      </x:c>
      <x:c r="O42" s="30" t="str">
        <x:v>現行ビルドで当該手順の実施証跡なし。過去結果と参考試験は右欄。</x:v>
      </x:c>
      <x:c r="P42" s="30" t="str">
        <x:v>未採番：該当証跡未特定</x:v>
      </x:c>
      <x:c r="Q42" s="4" t="str">
        <x:v>画面観察・録画＋操作時刻・端末ログ／読取APIを照合。</x:v>
      </x:c>
      <x:c r="R42" s="4" t="str">
        <x:v>評価は対象の現行ビルドだけ。旧版/検証版結果を現行OKへ繰り上げない。</x:v>
      </x:c>
      <x:c r="S42" s="4" t="str">
        <x:v>非対象</x:v>
      </x:c>
      <x:c r="T42" s="4" t="str">
        <x:v>未確認</x:v>
      </x:c>
      <x:c r="U42" s="4" t="str">
        <x:v>該当する過去の実機証跡を今回特定できず。未実施と断定せず未確認。</x:v>
      </x:c>
      <x:c r="V42" s="4" t="str">
        <x:v>該当する過去の実機証跡を今回特定できず。未実施と断定せず未確認。</x:v>
      </x:c>
      <x:c r="W42" s="4" t="str">
        <x:v>変更/障害時に追試</x:v>
      </x:c>
      <x:c r="X42" s="4" t="str">
        <x:v>未確認の全件を必須にはしない。変更範囲・重大度・障害発生に応じて選択。</x:v>
      </x:c>
      <x:c r="Y42" s="4" t="str">
        <x:v>手動中心</x:v>
      </x:c>
      <x:c r="Z42" s="4" t="str">
        <x:v>実移動・権限ダイアログ・課金確認は手動。ログ/時刻/件数収集と比較を補助自動化。</x:v>
      </x:c>
    </x:row>
    <x:row r="43" ht="105" customHeight="1">
      <x:c r="A43" s="9" t="n">
        <x:v>36</x:v>
      </x:c>
      <x:c r="B43" s="10" t="str">
        <x:v>04 リアルタイム共有</x:v>
      </x:c>
      <x:c r="C43" s="10" t="str">
        <x:v>開始</x:v>
      </x:c>
      <x:c r="D43" s="10" t="str">
        <x:v>選択した相手だけへ共有</x:v>
      </x:c>
      <x:c r="E43" s="10" t="str">
        <x:v>Bのみ現在地が表示され、Cには非表示。セッションと共有先が一致する。</x:v>
      </x:c>
      <x:c r="F43" s="10" t="str">
        <x:v>自動実機テスト</x:v>
      </x:c>
      <x:c r="G43" s="11" t="str">
        <x:v>共通</x:v>
      </x:c>
      <x:c r="H43" s="11" t="str">
        <x:v>P0</x:v>
      </x:c>
      <x:c r="I43" s="10" t="str">
        <x:v>標準環境S1</x:v>
      </x:c>
      <x:c r="J43" s="10" t="str">
        <x:v>記録側Aが閲覧側Bだけ選び共有開始。非共有側Cでも確認。</x:v>
      </x:c>
      <x:c r="K43" s="10" t="str">
        <x:v>同じ操作を両OSで個別に実施</x:v>
      </x:c>
      <x:c r="L43" s="29" t="str">
        <x:v>未実施</x:v>
      </x:c>
      <x:c r="M43" s="29" t="str">
        <x:v>未実施</x:v>
      </x:c>
      <x:c r="N43" s="30" t="str">
        <x:v>現行ビルドで当該手順の実施証跡なし。過去結果と参考試験は右欄。</x:v>
      </x:c>
      <x:c r="O43" s="30" t="str">
        <x:v>現行ビルドで当該手順の実施証跡なし。過去結果と参考試験は右欄。</x:v>
      </x:c>
      <x:c r="P43" s="30" t="str">
        <x:v>E07 / E06 / E11</x:v>
      </x:c>
      <x:c r="Q43" s="4" t="str">
        <x:v>実機UI操作＋読取API／端末ログ照合。専用ドライバー整備後に実施。</x:v>
      </x:c>
      <x:c r="R43" s="4" t="str">
        <x:v>本番v2の旧新版形式API・再送・墓標・認可を14項目確認。UI操作やグループ画面全手順の合格を意味しない。 [E06,E11]</x:v>
      </x:c>
      <x:c r="S43" s="4" t="str">
        <x:v>旧版/検証版のみ</x:v>
      </x:c>
      <x:c r="T43" s="4" t="str">
        <x:v>旧版/検証版のみ</x:v>
      </x:c>
      <x:c r="U43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43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43" s="4" t="str">
        <x:v>公開前必須残（最小確認案）</x:v>
      </x:c>
      <x:c r="X43" s="4" t="str">
        <x:v>「残テスト・自動化」のG1〜G7で対象OSと手順を確認。関連Noの全組合せが完了するとは限らない。</x:v>
      </x:c>
      <x:c r="Y43" s="4" t="str">
        <x:v>A1 最優先</x:v>
      </x:c>
      <x:c r="Z43" s="4" t="str">
        <x:v>記録側・閲覧側・非共有側の実機UI＋読取API。権限・時刻・非表示を検査し録画を残す。</x:v>
      </x:c>
    </x:row>
    <x:row r="44" ht="105" customHeight="1">
      <x:c r="A44" s="6" t="n">
        <x:v>37</x:v>
      </x:c>
      <x:c r="B44" s="4" t="str">
        <x:v>04 リアルタイム共有</x:v>
      </x:c>
      <x:c r="C44" s="4" t="str">
        <x:v>独立性</x:v>
      </x:c>
      <x:c r="D44" s="4" t="str">
        <x:v>記録なしで共有を継続</x:v>
      </x:c>
      <x:c r="E44" s="4" t="str">
        <x:v>記録停止後も共有は継続し、記録の状態を勝手に再開始しない。</x:v>
      </x:c>
      <x:c r="F44" s="4" t="str">
        <x:v>自動実機テスト</x:v>
      </x:c>
      <x:c r="G44" s="7" t="str">
        <x:v>共通</x:v>
      </x:c>
      <x:c r="H44" s="7" t="str">
        <x:v>P0</x:v>
      </x:c>
      <x:c r="I44" s="4" t="str">
        <x:v>標準環境S1</x:v>
      </x:c>
      <x:c r="J44" s="4" t="str">
        <x:v>共有と記録を開始し、記録だけ停止・保存する。</x:v>
      </x:c>
      <x:c r="K44" s="4" t="str">
        <x:v>同じ操作を両OSで個別に実施</x:v>
      </x:c>
      <x:c r="L44" s="29" t="str">
        <x:v>未実施</x:v>
      </x:c>
      <x:c r="M44" s="29" t="str">
        <x:v>未実施</x:v>
      </x:c>
      <x:c r="N44" s="30" t="str">
        <x:v>現行ビルドで当該手順の実施証跡なし。過去結果と参考試験は右欄。</x:v>
      </x:c>
      <x:c r="O44" s="30" t="str">
        <x:v>現行ビルドで当該手順の実施証跡なし。過去結果と参考試験は右欄。</x:v>
      </x:c>
      <x:c r="P44" s="30" t="str">
        <x:v>E08 / E06 / E11 / E07</x:v>
      </x:c>
      <x:c r="Q44" s="4" t="str">
        <x:v>実機UI操作＋読取API／端末ログ照合。専用ドライバー整備後に実施。</x:v>
      </x:c>
      <x:c r="R44" s="4" t="str">
        <x:v>本番v2の旧新版形式API・再送・墓標・認可を14項目確認。UI操作やグループ画面全手順の合格を意味しない。 [E06,E11]</x:v>
      </x:c>
      <x:c r="S44" s="4" t="str">
        <x:v>旧版/検証版のみ</x:v>
      </x:c>
      <x:c r="T44" s="4" t="str">
        <x:v>旧版/検証版のみ</x:v>
      </x:c>
      <x:c r="U44" s="4" t="str">
        <x:v>iOS検証104診断追加版：USBなし・無充電・ロック65分超。248点観測、最終252点／重複0。最大保存遅延30.832秒、保存・共有停止正常。 [E08]</x:v>
      </x:c>
      <x:c r="V44" s="4" t="str">
        <x:v>検証104／2026-10-24：保存・破棄・上限後の名前入力再表示・保存後再開を実機/API確認。現行27で同じシナリオを再実施したものではない。 [E07]</x:v>
      </x:c>
      <x:c r="W44" s="4" t="str">
        <x:v>公開前必須残（最小確認案）</x:v>
      </x:c>
      <x:c r="X44" s="4" t="str">
        <x:v>「残テスト・自動化」のG1〜G7で対象OSと手順を確認。関連Noの全組合せが完了するとは限らない。</x:v>
      </x:c>
      <x:c r="Y44" s="4" t="str">
        <x:v>A1 最優先</x:v>
      </x:c>
      <x:c r="Z44" s="4" t="str">
        <x:v>記録側・閲覧側・非共有側の実機UI＋読取API。権限・時刻・非表示を検査し録画を残す。</x:v>
      </x:c>
    </x:row>
    <x:row r="45" ht="105" customHeight="1">
      <x:c r="A45" s="6" t="n">
        <x:v>38</x:v>
      </x:c>
      <x:c r="B45" s="4" t="str">
        <x:v>04 リアルタイム共有</x:v>
      </x:c>
      <x:c r="C45" s="4" t="str">
        <x:v>独立性</x:v>
      </x:c>
      <x:c r="D45" s="4" t="str">
        <x:v>共有なしで記録を継続</x:v>
      </x:c>
      <x:c r="E45" s="4" t="str">
        <x:v>記録が継続し、閲覧側への位置公開は停止する。</x:v>
      </x:c>
      <x:c r="F45" s="4" t="str">
        <x:v>自動実機テスト</x:v>
      </x:c>
      <x:c r="G45" s="7" t="str">
        <x:v>共通</x:v>
      </x:c>
      <x:c r="H45" s="7" t="str">
        <x:v>P0</x:v>
      </x:c>
      <x:c r="I45" s="4" t="str">
        <x:v>標準環境S1</x:v>
      </x:c>
      <x:c r="J45" s="4" t="str">
        <x:v>記録と共有を開始し、共有だけを停止する。</x:v>
      </x:c>
      <x:c r="K45" s="4" t="str">
        <x:v>同じ操作を両OSで個別に実施</x:v>
      </x:c>
      <x:c r="L45" s="29" t="str">
        <x:v>未実施</x:v>
      </x:c>
      <x:c r="M45" s="29" t="str">
        <x:v>未実施</x:v>
      </x:c>
      <x:c r="N45" s="30" t="str">
        <x:v>現行ビルドで当該手順の実施証跡なし。過去結果と参考試験は右欄。</x:v>
      </x:c>
      <x:c r="O45" s="30" t="str">
        <x:v>現行ビルドで当該手順の実施証跡なし。過去結果と参考試験は右欄。</x:v>
      </x:c>
      <x:c r="P45" s="30" t="str">
        <x:v>E06 / E11</x:v>
      </x:c>
      <x:c r="Q45" s="4" t="str">
        <x:v>実機UI操作＋読取API／端末ログ照合。専用ドライバー整備後に実施。</x:v>
      </x:c>
      <x:c r="R45" s="4" t="str">
        <x:v>本番v2の旧新版形式API・再送・墓標・認可を14項目確認。UI操作やグループ画面全手順の合格を意味しない。 [E06,E11]</x:v>
      </x:c>
      <x:c r="S45" s="4" t="str">
        <x:v>API/ローカルのみ</x:v>
      </x:c>
      <x:c r="T45" s="4" t="str">
        <x:v>API/ローカルのみ</x:v>
      </x:c>
      <x:c r="U45" s="4" t="str">
        <x:v>該当する過去の実機証跡を今回特定できず。未実施と断定せず未確認。</x:v>
      </x:c>
      <x:c r="V45" s="4" t="str">
        <x:v>該当する過去の実機証跡を今回特定できず。未実施と断定せず未確認。</x:v>
      </x:c>
      <x:c r="W45" s="4" t="str">
        <x:v>変更/障害時に追試</x:v>
      </x:c>
      <x:c r="X45" s="4" t="str">
        <x:v>未確認の全件を必須にはしない。変更範囲・重大度・障害発生に応じて選択。</x:v>
      </x:c>
      <x:c r="Y45" s="4" t="str">
        <x:v>A1 最優先</x:v>
      </x:c>
      <x:c r="Z45" s="4" t="str">
        <x:v>記録側・閲覧側・非共有側の実機UI＋読取API。権限・時刻・非表示を検査し録画を残す。</x:v>
      </x:c>
    </x:row>
    <x:row r="46" ht="105" customHeight="1">
      <x:c r="A46" s="6" t="n">
        <x:v>39</x:v>
      </x:c>
      <x:c r="B46" s="4" t="str">
        <x:v>04 リアルタイム共有</x:v>
      </x:c>
      <x:c r="C46" s="4" t="str">
        <x:v>画面</x:v>
      </x:c>
      <x:c r="D46" s="4" t="str">
        <x:v>Android閲覧側の自動表示</x:v>
      </x:c>
      <x:c r="E46" s="4" t="str">
        <x:v>開き直しや手動更新なしで道路地図・アイコン・更新日時が表示される。</x:v>
      </x:c>
      <x:c r="F46" s="4" t="str">
        <x:v>手動実機テスト</x:v>
      </x:c>
      <x:c r="G46" s="7" t="str">
        <x:v>Android</x:v>
      </x:c>
      <x:c r="H46" s="7" t="str">
        <x:v>P0</x:v>
      </x:c>
      <x:c r="I46" s="4" t="str">
        <x:v>S3：共有元＋Android閲覧端末</x:v>
      </x:c>
      <x:c r="J46" s="4" t="str">
        <x:v>Android閲覧側で空画面を開いたまま、別端末から共有開始。60秒観察。</x:v>
      </x:c>
      <x:c r="K46" s="4" t="str">
        <x:v>Maps SDK認証・地図タイル・マーカーを別々に確認</x:v>
      </x:c>
      <x:c r="L46" s="29" t="str">
        <x:v>対象外</x:v>
      </x:c>
      <x:c r="M46" s="29" t="str">
        <x:v>未実施</x:v>
      </x:c>
      <x:c r="N46" s="30" t="str">
        <x:v>非対象</x:v>
      </x:c>
      <x:c r="O46" s="30" t="str">
        <x:v>現行ビルドで当該手順の実施証跡なし。過去結果と参考試験は右欄。</x:v>
      </x:c>
      <x:c r="P46" s="30" t="str">
        <x:v>E07</x:v>
      </x:c>
      <x:c r="Q46" s="4" t="str">
        <x:v>画面観察・録画＋操作時刻・端末ログ／読取APIを照合。</x:v>
      </x:c>
      <x:c r="R46" s="4" t="str">
        <x:v>評価は対象の現行ビルドだけ。旧版/検証版結果を現行OKへ繰り上げない。</x:v>
      </x:c>
      <x:c r="S46" s="4" t="str">
        <x:v>非対象</x:v>
      </x:c>
      <x:c r="T46" s="4" t="str">
        <x:v>旧版/検証版のみ</x:v>
      </x:c>
      <x:c r="U46" s="4" t="str">
        <x:v>該当する過去の実機証跡を今回特定できず。未実施と断定せず未確認。</x:v>
      </x:c>
      <x:c r="V46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46" s="4" t="str">
        <x:v>公開前必須残（最小確認案）</x:v>
      </x:c>
      <x:c r="X46" s="4" t="str">
        <x:v>「残テスト・自動化」のG1〜G7で対象OSと手順を確認。関連Noの全組合せが完了するとは限らない。</x:v>
      </x:c>
      <x:c r="Y46" s="4" t="str">
        <x:v>手動中心</x:v>
      </x:c>
      <x:c r="Z46" s="4" t="str">
        <x:v>実移動・権限ダイアログ・課金確認は手動。ログ/時刻/件数収集と比較を補助自動化。</x:v>
      </x:c>
    </x:row>
    <x:row r="47" ht="105" customHeight="1">
      <x:c r="A47" s="6" t="n">
        <x:v>40</x:v>
      </x:c>
      <x:c r="B47" s="4" t="str">
        <x:v>04 リアルタイム共有</x:v>
      </x:c>
      <x:c r="C47" s="4" t="str">
        <x:v>画面</x:v>
      </x:c>
      <x:c r="D47" s="4" t="str">
        <x:v>iPhone閲覧側の自動表示</x:v>
      </x:c>
      <x:c r="E47" s="4" t="str">
        <x:v>開き直しなしで道路地図・アイコン・更新日時が表示される。白地＋アイコンだけはNG。</x:v>
      </x:c>
      <x:c r="F47" s="4" t="str">
        <x:v>手動実機テスト</x:v>
      </x:c>
      <x:c r="G47" s="7" t="str">
        <x:v>iOS</x:v>
      </x:c>
      <x:c r="H47" s="7" t="str">
        <x:v>P0</x:v>
      </x:c>
      <x:c r="I47" s="4" t="str">
        <x:v>S3：共有元＋iPhone閲覧端末</x:v>
      </x:c>
      <x:c r="J47" s="4" t="str">
        <x:v>iPhone閲覧側で空画面を開いたまま、別端末から共有開始。60秒観察。</x:v>
      </x:c>
      <x:c r="K47" s="4" t="str">
        <x:v>通常版Bundle IDのMaps SDK制限と実際の地図表示を確認</x:v>
      </x:c>
      <x:c r="L47" s="29" t="str">
        <x:v>未実施</x:v>
      </x:c>
      <x:c r="M47" s="29" t="str">
        <x:v>対象外</x:v>
      </x:c>
      <x:c r="N47" s="30" t="str">
        <x:v>現行ビルドで当該手順の実施証跡なし。過去結果と参考試験は右欄。</x:v>
      </x:c>
      <x:c r="O47" s="30" t="str">
        <x:v>非対象</x:v>
      </x:c>
      <x:c r="P47" s="30" t="str">
        <x:v>E07</x:v>
      </x:c>
      <x:c r="Q47" s="4" t="str">
        <x:v>画面観察・録画＋操作時刻・端末ログ／読取APIを照合。</x:v>
      </x:c>
      <x:c r="R47" s="4" t="str">
        <x:v>評価は対象の現行ビルドだけ。旧版/検証版結果を現行OKへ繰り上げない。</x:v>
      </x:c>
      <x:c r="S47" s="4" t="str">
        <x:v>旧版/検証版のみ</x:v>
      </x:c>
      <x:c r="T47" s="4" t="str">
        <x:v>非対象</x:v>
      </x:c>
      <x:c r="U47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47" s="4" t="str">
        <x:v>該当する過去の実機証跡を今回特定できず。未実施と断定せず未確認。</x:v>
      </x:c>
      <x:c r="W47" s="4" t="str">
        <x:v>公開前必須残（最小確認案）</x:v>
      </x:c>
      <x:c r="X47" s="4" t="str">
        <x:v>「残テスト・自動化」のG1〜G7で対象OSと手順を確認。関連Noの全組合せが完了するとは限らない。</x:v>
      </x:c>
      <x:c r="Y47" s="4" t="str">
        <x:v>手動中心</x:v>
      </x:c>
      <x:c r="Z47" s="4" t="str">
        <x:v>実移動・権限ダイアログ・課金確認は手動。ログ/時刻/件数収集と比較を補助自動化。</x:v>
      </x:c>
    </x:row>
    <x:row r="48" ht="105" customHeight="1">
      <x:c r="A48" s="6" t="n">
        <x:v>41</x:v>
      </x:c>
      <x:c r="B48" s="4" t="str">
        <x:v>04 リアルタイム共有</x:v>
      </x:c>
      <x:c r="C48" s="4" t="str">
        <x:v>更新</x:v>
      </x:c>
      <x:c r="D48" s="4" t="str">
        <x:v>同じ画面で更新日時が進む</x:v>
      </x:c>
      <x:c r="E48" s="4" t="str">
        <x:v>再表示・手動更新なしで日時が進み、古い位置を最新と誤表示しない。</x:v>
      </x:c>
      <x:c r="F48" s="4" t="str">
        <x:v>手動実機テスト</x:v>
      </x:c>
      <x:c r="G48" s="7" t="str">
        <x:v>共通</x:v>
      </x:c>
      <x:c r="H48" s="7" t="str">
        <x:v>P0</x:v>
      </x:c>
      <x:c r="I48" s="4" t="str">
        <x:v>標準環境S1</x:v>
      </x:c>
      <x:c r="J48" s="4" t="str">
        <x:v>閲覧画面を開いたまま2分以上観察。共有元API時刻と照合。</x:v>
      </x:c>
      <x:c r="K48" s="4" t="str">
        <x:v>同じ操作を両OSで個別に実施</x:v>
      </x:c>
      <x:c r="L48" s="29" t="str">
        <x:v>未実施</x:v>
      </x:c>
      <x:c r="M48" s="29" t="str">
        <x:v>未実施</x:v>
      </x:c>
      <x:c r="N48" s="30" t="str">
        <x:v>現行ビルドで当該手順の実施証跡なし。過去結果と参考試験は右欄。</x:v>
      </x:c>
      <x:c r="O48" s="30" t="str">
        <x:v>現行ビルドで当該手順の実施証跡なし。過去結果と参考試験は右欄。</x:v>
      </x:c>
      <x:c r="P48" s="30" t="str">
        <x:v>E07</x:v>
      </x:c>
      <x:c r="Q48" s="4" t="str">
        <x:v>画面観察・録画＋操作時刻・端末ログ／読取APIを照合。</x:v>
      </x:c>
      <x:c r="R48" s="4" t="str">
        <x:v>評価は対象の現行ビルドだけ。旧版/検証版結果を現行OKへ繰り上げない。</x:v>
      </x:c>
      <x:c r="S48" s="4" t="str">
        <x:v>旧版/検証版のみ</x:v>
      </x:c>
      <x:c r="T48" s="4" t="str">
        <x:v>旧版/検証版のみ</x:v>
      </x:c>
      <x:c r="U48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48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48" s="4" t="str">
        <x:v>公開前必須残（最小確認案）</x:v>
      </x:c>
      <x:c r="X48" s="4" t="str">
        <x:v>「残テスト・自動化」のG1〜G7で対象OSと手順を確認。関連Noの全組合せが完了するとは限らない。</x:v>
      </x:c>
      <x:c r="Y48" s="4" t="str">
        <x:v>手動中心</x:v>
      </x:c>
      <x:c r="Z48" s="4" t="str">
        <x:v>実移動・権限ダイアログ・課金確認は手動。ログ/時刻/件数収集と比較を補助自動化。</x:v>
      </x:c>
    </x:row>
    <x:row r="49" ht="105" customHeight="1">
      <x:c r="A49" s="6" t="n">
        <x:v>42</x:v>
      </x:c>
      <x:c r="B49" s="4" t="str">
        <x:v>04 リアルタイム共有</x:v>
      </x:c>
      <x:c r="C49" s="4" t="str">
        <x:v>追従</x:v>
      </x:c>
      <x:c r="D49" s="4" t="str">
        <x:v>Android共有元から閲覧側へ追従</x:v>
      </x:c>
      <x:c r="E49" s="4" t="str">
        <x:v>道路・交差点に対するアイコン位置と更新日時が変わる。録画と座標・時刻が対応する。</x:v>
      </x:c>
      <x:c r="F49" s="4" t="str">
        <x:v>手動実機テスト</x:v>
      </x:c>
      <x:c r="G49" s="7" t="str">
        <x:v>共通</x:v>
      </x:c>
      <x:c r="H49" s="7" t="str">
        <x:v>P0</x:v>
      </x:c>
      <x:c r="I49" s="4" t="str">
        <x:v>S3＋安全な屋外</x:v>
      </x:c>
      <x:c r="J49" s="4" t="str">
        <x:v>閲覧側を録画し地図を拡大。Androidだけロックして片道50m移動、60〜90秒静止し戻る。</x:v>
      </x:c>
      <x:c r="K49" s="4" t="str">
        <x:v>OS欄は閲覧側のOS。共有元はAndroidに固定</x:v>
      </x:c>
      <x:c r="L49" s="29" t="str">
        <x:v>未実施</x:v>
      </x:c>
      <x:c r="M49" s="29" t="str">
        <x:v>未実施</x:v>
      </x:c>
      <x:c r="N49" s="30" t="str">
        <x:v>現行ビルドで当該手順の実施証跡なし。過去結果と参考試験は右欄。</x:v>
      </x:c>
      <x:c r="O49" s="30" t="str">
        <x:v>現行ビルドで当該手順の実施証跡なし。過去結果と参考試験は右欄。</x:v>
      </x:c>
      <x:c r="P49" s="30" t="str">
        <x:v>E07</x:v>
      </x:c>
      <x:c r="Q49" s="4" t="str">
        <x:v>画面観察・録画＋操作時刻・端末ログ／読取APIを照合。</x:v>
      </x:c>
      <x:c r="R49" s="4" t="str">
        <x:v>評価は対象の現行ビルドだけ。旧版/検証版結果を現行OKへ繰り上げない。</x:v>
      </x:c>
      <x:c r="S49" s="4" t="str">
        <x:v>旧版/検証版のみ</x:v>
      </x:c>
      <x:c r="T49" s="4" t="str">
        <x:v>旧版/検証版のみ</x:v>
      </x:c>
      <x:c r="U49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49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49" s="4" t="str">
        <x:v>公開前必須残（最小確認案）</x:v>
      </x:c>
      <x:c r="X49" s="4" t="str">
        <x:v>「残テスト・自動化」のG1〜G7で対象OSと手順を確認。関連Noの全組合せが完了するとは限らない。</x:v>
      </x:c>
      <x:c r="Y49" s="4" t="str">
        <x:v>手動中心</x:v>
      </x:c>
      <x:c r="Z49" s="4" t="str">
        <x:v>実移動・権限ダイアログ・課金確認は手動。ログ/時刻/件数収集と比較を補助自動化。</x:v>
      </x:c>
    </x:row>
    <x:row r="50" ht="105" customHeight="1">
      <x:c r="A50" s="6" t="n">
        <x:v>43</x:v>
      </x:c>
      <x:c r="B50" s="4" t="str">
        <x:v>04 リアルタイム共有</x:v>
      </x:c>
      <x:c r="C50" s="4" t="str">
        <x:v>追従</x:v>
      </x:c>
      <x:c r="D50" s="4" t="str">
        <x:v>iPhone共有元から閲覧側へ追従</x:v>
      </x:c>
      <x:c r="E50" s="4" t="str">
        <x:v>iOS共有元の背景更新が地図上へ反映し、閲覧画面を開き直す必要がない。</x:v>
      </x:c>
      <x:c r="F50" s="4" t="str">
        <x:v>手動実機テスト</x:v>
      </x:c>
      <x:c r="G50" s="7" t="str">
        <x:v>共通</x:v>
      </x:c>
      <x:c r="H50" s="7" t="str">
        <x:v>P0</x:v>
      </x:c>
      <x:c r="I50" s="4" t="str">
        <x:v>S3＋安全な屋外</x:v>
      </x:c>
      <x:c r="J50" s="4" t="str">
        <x:v>閲覧側を録画。iPhoneだけロックして移動し、戻って動画・API時刻を照合。</x:v>
      </x:c>
      <x:c r="K50" s="4" t="str">
        <x:v>OS欄は閲覧側。共有元はiOSに固定</x:v>
      </x:c>
      <x:c r="L50" s="29" t="str">
        <x:v>未実施</x:v>
      </x:c>
      <x:c r="M50" s="29" t="str">
        <x:v>未実施</x:v>
      </x:c>
      <x:c r="N50" s="30" t="str">
        <x:v>現行ビルドで当該手順の実施証跡なし。過去結果と参考試験は右欄。</x:v>
      </x:c>
      <x:c r="O50" s="30" t="str">
        <x:v>現行ビルドで当該手順の実施証跡なし。過去結果と参考試験は右欄。</x:v>
      </x:c>
      <x:c r="P50" s="30" t="str">
        <x:v>未採番：該当証跡未特定</x:v>
      </x:c>
      <x:c r="Q50" s="4" t="str">
        <x:v>画面観察・録画＋操作時刻・端末ログ／読取APIを照合。</x:v>
      </x:c>
      <x:c r="R50" s="4" t="str">
        <x:v>評価は対象の現行ビルドだけ。旧版/検証版結果を現行OKへ繰り上げない。</x:v>
      </x:c>
      <x:c r="S50" s="4" t="str">
        <x:v>未確認</x:v>
      </x:c>
      <x:c r="T50" s="4" t="str">
        <x:v>未確認</x:v>
      </x:c>
      <x:c r="U50" s="4" t="str">
        <x:v>該当する過去の実機証跡を今回特定できず。未実施と断定せず未確認。</x:v>
      </x:c>
      <x:c r="V50" s="4" t="str">
        <x:v>該当する過去の実機証跡を今回特定できず。未実施と断定せず未確認。</x:v>
      </x:c>
      <x:c r="W50" s="4" t="str">
        <x:v>公開前必須残（最小確認案）</x:v>
      </x:c>
      <x:c r="X50" s="4" t="str">
        <x:v>「残テスト・自動化」のG1〜G7で対象OSと手順を確認。関連Noの全組合せが完了するとは限らない。</x:v>
      </x:c>
      <x:c r="Y50" s="4" t="str">
        <x:v>手動中心</x:v>
      </x:c>
      <x:c r="Z50" s="4" t="str">
        <x:v>実移動・権限ダイアログ・課金確認は手動。ログ/時刻/件数収集と比較を補助自動化。</x:v>
      </x:c>
    </x:row>
    <x:row r="51" ht="105" customHeight="1">
      <x:c r="A51" s="6" t="n">
        <x:v>44</x:v>
      </x:c>
      <x:c r="B51" s="4" t="str">
        <x:v>04 リアルタイム共有</x:v>
      </x:c>
      <x:c r="C51" s="4" t="str">
        <x:v>停止</x:v>
      </x:c>
      <x:c r="D51" s="4" t="str">
        <x:v>共有停止で自動非表示</x:v>
      </x:c>
      <x:c r="E51" s="4" t="str">
        <x:v>地図と元ユーザーのアイコンが消え、「共有中の現在地はありません」へ切り替わる。APIも取得拒否。</x:v>
      </x:c>
      <x:c r="F51" s="4" t="str">
        <x:v>手動実機テスト</x:v>
      </x:c>
      <x:c r="G51" s="7" t="str">
        <x:v>共通</x:v>
      </x:c>
      <x:c r="H51" s="7" t="str">
        <x:v>P0</x:v>
      </x:c>
      <x:c r="I51" s="4" t="str">
        <x:v>標準環境S1</x:v>
      </x:c>
      <x:c r="J51" s="4" t="str">
        <x:v>閲覧画面を開いたまま共有元で停止。30秒観察する。</x:v>
      </x:c>
      <x:c r="K51" s="4" t="str">
        <x:v>同じ操作を両OSで個別に実施</x:v>
      </x:c>
      <x:c r="L51" s="29" t="str">
        <x:v>未実施</x:v>
      </x:c>
      <x:c r="M51" s="29" t="str">
        <x:v>未実施</x:v>
      </x:c>
      <x:c r="N51" s="30" t="str">
        <x:v>現行ビルドで当該手順の実施証跡なし。過去結果と参考試験は右欄。</x:v>
      </x:c>
      <x:c r="O51" s="30" t="str">
        <x:v>現行ビルドで当該手順の実施証跡なし。過去結果と参考試験は右欄。</x:v>
      </x:c>
      <x:c r="P51" s="30" t="str">
        <x:v>E07 / E06 / E11</x:v>
      </x:c>
      <x:c r="Q51" s="4" t="str">
        <x:v>画面観察・録画＋操作時刻・端末ログ／読取APIを照合。</x:v>
      </x:c>
      <x:c r="R51" s="4" t="str">
        <x:v>本番v2の旧新版形式API・再送・墓標・認可を14項目確認。UI操作やグループ画面全手順の合格を意味しない。 [E06,E11]</x:v>
      </x:c>
      <x:c r="S51" s="4" t="str">
        <x:v>旧版/検証版のみ</x:v>
      </x:c>
      <x:c r="T51" s="4" t="str">
        <x:v>旧版/検証版のみ</x:v>
      </x:c>
      <x:c r="U51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51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51" s="4" t="str">
        <x:v>公開前必須残（最小確認案）</x:v>
      </x:c>
      <x:c r="X51" s="4" t="str">
        <x:v>「残テスト・自動化」のG1〜G7で対象OSと手順を確認。関連Noの全組合せが完了するとは限らない。</x:v>
      </x:c>
      <x:c r="Y51" s="4" t="str">
        <x:v>A1 最優先</x:v>
      </x:c>
      <x:c r="Z51" s="4" t="str">
        <x:v>記録側・閲覧側・非共有側の実機UI＋読取API。権限・時刻・非表示を検査し録画を残す。</x:v>
      </x:c>
    </x:row>
    <x:row r="52" ht="105" customHeight="1">
      <x:c r="A52" s="6" t="n">
        <x:v>45</x:v>
      </x:c>
      <x:c r="B52" s="4" t="str">
        <x:v>04 リアルタイム共有</x:v>
      </x:c>
      <x:c r="C52" s="4" t="str">
        <x:v>停止</x:v>
      </x:c>
      <x:c r="D52" s="4" t="str">
        <x:v>停止後の再ログイン</x:v>
      </x:c>
      <x:c r="E52" s="4" t="str">
        <x:v>古いアイコン・地図・日時が復活せず、位置を取得できない。</x:v>
      </x:c>
      <x:c r="F52" s="4" t="str">
        <x:v>自動実機テスト</x:v>
      </x:c>
      <x:c r="G52" s="7" t="str">
        <x:v>共通</x:v>
      </x:c>
      <x:c r="H52" s="7" t="str">
        <x:v>P0</x:v>
      </x:c>
      <x:c r="I52" s="4" t="str">
        <x:v>標準環境S1</x:v>
      </x:c>
      <x:c r="J52" s="4" t="str">
        <x:v>共有停止後に閲覧側だけサインアウト・再ログインして同画面を開く。</x:v>
      </x:c>
      <x:c r="K52" s="4" t="str">
        <x:v>同じ操作を両OSで個別に実施</x:v>
      </x:c>
      <x:c r="L52" s="29" t="str">
        <x:v>未実施</x:v>
      </x:c>
      <x:c r="M52" s="29" t="str">
        <x:v>未実施</x:v>
      </x:c>
      <x:c r="N52" s="30" t="str">
        <x:v>現行ビルドで当該手順の実施証跡なし。過去結果と参考試験は右欄。</x:v>
      </x:c>
      <x:c r="O52" s="30" t="str">
        <x:v>現行ビルドで当該手順の実施証跡なし。過去結果と参考試験は右欄。</x:v>
      </x:c>
      <x:c r="P52" s="30" t="str">
        <x:v>E07 / E06 / E11</x:v>
      </x:c>
      <x:c r="Q52" s="4" t="str">
        <x:v>実機UI操作＋読取API／端末ログ照合。専用ドライバー整備後に実施。</x:v>
      </x:c>
      <x:c r="R52" s="4" t="str">
        <x:v>本番v2の旧新版形式API・再送・墓標・認可を14項目確認。UI操作やグループ画面全手順の合格を意味しない。 [E06,E11]</x:v>
      </x:c>
      <x:c r="S52" s="4" t="str">
        <x:v>旧版/検証版のみ</x:v>
      </x:c>
      <x:c r="T52" s="4" t="str">
        <x:v>旧版/検証版のみ</x:v>
      </x:c>
      <x:c r="U52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52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52" s="4" t="str">
        <x:v>公開前必須残（最小確認案）</x:v>
      </x:c>
      <x:c r="X52" s="4" t="str">
        <x:v>「残テスト・自動化」のG1〜G7で対象OSと手順を確認。関連Noの全組合せが完了するとは限らない。</x:v>
      </x:c>
      <x:c r="Y52" s="4" t="str">
        <x:v>A1 最優先</x:v>
      </x:c>
      <x:c r="Z52" s="4" t="str">
        <x:v>記録側・閲覧側・非共有側の実機UI＋読取API。権限・時刻・非表示を検査し録画を残す。</x:v>
      </x:c>
    </x:row>
    <x:row r="53" ht="105" customHeight="1">
      <x:c r="A53" s="6" t="n">
        <x:v>46</x:v>
      </x:c>
      <x:c r="B53" s="4" t="str">
        <x:v>04 リアルタイム共有</x:v>
      </x:c>
      <x:c r="C53" s="4" t="str">
        <x:v>切替</x:v>
      </x:c>
      <x:c r="D53" s="4" t="str">
        <x:v>閲覧側から非共有側へログイン切替</x:v>
      </x:c>
      <x:c r="E53" s="4" t="str">
        <x:v>BのキャッシュがCへ残らず、Aの位置は非表示。</x:v>
      </x:c>
      <x:c r="F53" s="4" t="str">
        <x:v>自動実機テスト</x:v>
      </x:c>
      <x:c r="G53" s="7" t="str">
        <x:v>共通</x:v>
      </x:c>
      <x:c r="H53" s="7" t="str">
        <x:v>P0</x:v>
      </x:c>
      <x:c r="I53" s="4" t="str">
        <x:v>標準環境S1</x:v>
      </x:c>
      <x:c r="J53" s="4" t="str">
        <x:v>共有継続中にBからサインアウトしCでログイン、共有画面を開く。</x:v>
      </x:c>
      <x:c r="K53" s="4" t="str">
        <x:v>同じ操作を両OSで個別に実施</x:v>
      </x:c>
      <x:c r="L53" s="29" t="str">
        <x:v>未実施</x:v>
      </x:c>
      <x:c r="M53" s="29" t="str">
        <x:v>未実施</x:v>
      </x:c>
      <x:c r="N53" s="30" t="str">
        <x:v>現行ビルドで当該手順の実施証跡なし。過去結果と参考試験は右欄。</x:v>
      </x:c>
      <x:c r="O53" s="30" t="str">
        <x:v>現行ビルドで当該手順の実施証跡なし。過去結果と参考試験は右欄。</x:v>
      </x:c>
      <x:c r="P53" s="30" t="str">
        <x:v>E07</x:v>
      </x:c>
      <x:c r="Q53" s="4" t="str">
        <x:v>実機UI操作＋読取API／端末ログ照合。専用ドライバー整備後に実施。</x:v>
      </x:c>
      <x:c r="R53" s="4" t="str">
        <x:v>評価は対象の現行ビルドだけ。旧版/検証版結果を現行OKへ繰り上げない。</x:v>
      </x:c>
      <x:c r="S53" s="4" t="str">
        <x:v>旧版/検証版のみ</x:v>
      </x:c>
      <x:c r="T53" s="4" t="str">
        <x:v>旧版/検証版のみ</x:v>
      </x:c>
      <x:c r="U53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53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53" s="4" t="str">
        <x:v>公開前必須残（最小確認案）</x:v>
      </x:c>
      <x:c r="X53" s="4" t="str">
        <x:v>「残テスト・自動化」のG1〜G7で対象OSと手順を確認。関連Noの全組合せが完了するとは限らない。</x:v>
      </x:c>
      <x:c r="Y53" s="4" t="str">
        <x:v>A1 最優先</x:v>
      </x:c>
      <x:c r="Z53" s="4" t="str">
        <x:v>記録側・閲覧側・非共有側の実機UI＋読取API。権限・時刻・非表示を検査し録画を残す。</x:v>
      </x:c>
    </x:row>
    <x:row r="54" ht="105" customHeight="1">
      <x:c r="A54" s="6" t="n">
        <x:v>47</x:v>
      </x:c>
      <x:c r="B54" s="4" t="str">
        <x:v>04 リアルタイム共有</x:v>
      </x:c>
      <x:c r="C54" s="4" t="str">
        <x:v>切替</x:v>
      </x:c>
      <x:c r="D54" s="4" t="str">
        <x:v>非共有側から閲覧側へ戻る</x:v>
      </x:c>
      <x:c r="E54" s="4" t="str">
        <x:v>有効な共有の地図・アイコン・日時が再び表示される。</x:v>
      </x:c>
      <x:c r="F54" s="4" t="str">
        <x:v>自動実機テスト</x:v>
      </x:c>
      <x:c r="G54" s="7" t="str">
        <x:v>共通</x:v>
      </x:c>
      <x:c r="H54" s="7" t="str">
        <x:v>P0</x:v>
      </x:c>
      <x:c r="I54" s="4" t="str">
        <x:v>標準環境S1</x:v>
      </x:c>
      <x:c r="J54" s="4" t="str">
        <x:v>CからサインアウトしBでログインして共有画面を開く。</x:v>
      </x:c>
      <x:c r="K54" s="4" t="str">
        <x:v>同じ操作を両OSで個別に実施</x:v>
      </x:c>
      <x:c r="L54" s="29" t="str">
        <x:v>未実施</x:v>
      </x:c>
      <x:c r="M54" s="29" t="str">
        <x:v>未実施</x:v>
      </x:c>
      <x:c r="N54" s="30" t="str">
        <x:v>現行ビルドで当該手順の実施証跡なし。過去結果と参考試験は右欄。</x:v>
      </x:c>
      <x:c r="O54" s="30" t="str">
        <x:v>現行ビルドで当該手順の実施証跡なし。過去結果と参考試験は右欄。</x:v>
      </x:c>
      <x:c r="P54" s="30" t="str">
        <x:v>E07</x:v>
      </x:c>
      <x:c r="Q54" s="4" t="str">
        <x:v>実機UI操作＋読取API／端末ログ照合。専用ドライバー整備後に実施。</x:v>
      </x:c>
      <x:c r="R54" s="4" t="str">
        <x:v>評価は対象の現行ビルドだけ。旧版/検証版結果を現行OKへ繰り上げない。</x:v>
      </x:c>
      <x:c r="S54" s="4" t="str">
        <x:v>旧版/検証版のみ</x:v>
      </x:c>
      <x:c r="T54" s="4" t="str">
        <x:v>旧版/検証版のみ</x:v>
      </x:c>
      <x:c r="U54" s="4" t="str">
        <x:v>検証104 Android共有元→iPhone実機閲覧。地図白画面は検証Bundle ID許可追加後復旧。動画22:35→22:38で位置反映、C非表示・B復帰・停止自動非表示を確認。通常版12ではない。 [E07]</x:v>
      </x:c>
      <x:c r="V54" s="4" t="str">
        <x:v>検証104 Android共有元→Pixel10 API37エミュレーター閲覧。自動表示・時刻更新・録画位置変化・C非表示・B復帰・停止後空画面を確認。Android閲覧実機ではない。 [E07]</x:v>
      </x:c>
      <x:c r="W54" s="4" t="str">
        <x:v>公開前必須残（最小確認案）</x:v>
      </x:c>
      <x:c r="X54" s="4" t="str">
        <x:v>「残テスト・自動化」のG1〜G7で対象OSと手順を確認。関連Noの全組合せが完了するとは限らない。</x:v>
      </x:c>
      <x:c r="Y54" s="4" t="str">
        <x:v>A1 最優先</x:v>
      </x:c>
      <x:c r="Z54" s="4" t="str">
        <x:v>記録側・閲覧側・非共有側の実機UI＋読取API。権限・時刻・非表示を検査し録画を残す。</x:v>
      </x:c>
    </x:row>
    <x:row r="55" ht="105" customHeight="1">
      <x:c r="A55" s="6" t="n">
        <x:v>48</x:v>
      </x:c>
      <x:c r="B55" s="4" t="str">
        <x:v>04 リアルタイム共有</x:v>
      </x:c>
      <x:c r="C55" s="4" t="str">
        <x:v>再開</x:v>
      </x:c>
      <x:c r="D55" s="4" t="str">
        <x:v>共有停止後の再共有</x:v>
      </x:c>
      <x:c r="E55" s="4" t="str">
        <x:v>新しい共有状態へ復帰し、旧セッションで更新・読取しない。</x:v>
      </x:c>
      <x:c r="F55" s="4" t="str">
        <x:v>自動実機テスト</x:v>
      </x:c>
      <x:c r="G55" s="7" t="str">
        <x:v>共通</x:v>
      </x:c>
      <x:c r="H55" s="7" t="str">
        <x:v>P0</x:v>
      </x:c>
      <x:c r="I55" s="4" t="str">
        <x:v>標準環境S1</x:v>
      </x:c>
      <x:c r="J55" s="4" t="str">
        <x:v>Aで共有停止→同じBへ再共有。閲覧画面は開いたまま。</x:v>
      </x:c>
      <x:c r="K55" s="4" t="str">
        <x:v>同じ操作を両OSで個別に実施</x:v>
      </x:c>
      <x:c r="L55" s="29" t="str">
        <x:v>未実施</x:v>
      </x:c>
      <x:c r="M55" s="29" t="str">
        <x:v>未実施</x:v>
      </x:c>
      <x:c r="N55" s="30" t="str">
        <x:v>現行ビルドで当該手順の実施証跡なし。過去結果と参考試験は右欄。</x:v>
      </x:c>
      <x:c r="O55" s="30" t="str">
        <x:v>現行ビルドで当該手順の実施証跡なし。過去結果と参考試験は右欄。</x:v>
      </x:c>
      <x:c r="P55" s="30" t="str">
        <x:v>E06 / E11 / E07</x:v>
      </x:c>
      <x:c r="Q55" s="4" t="str">
        <x:v>実機UI操作＋読取API／端末ログ照合。専用ドライバー整備後に実施。</x:v>
      </x:c>
      <x:c r="R55" s="4" t="str">
        <x:v>本番v2の旧新版形式API・再送・墓標・認可を14項目確認。UI操作やグループ画面全手順の合格を意味しない。 [E06,E11]</x:v>
      </x:c>
      <x:c r="S55" s="4" t="str">
        <x:v>API/ローカルのみ</x:v>
      </x:c>
      <x:c r="T55" s="4" t="str">
        <x:v>旧版/検証版のみ</x:v>
      </x:c>
      <x:c r="U55" s="4" t="str">
        <x:v>該当する過去の実機証跡を今回特定できず。未実施と断定せず未確認。</x:v>
      </x:c>
      <x:c r="V55" s="4" t="str">
        <x:v>検証104／2026-10-24：保存・破棄・上限後の名前入力再表示・保存後再開を実機/API確認。現行27で同じシナリオを再実施したものではない。 [E07]</x:v>
      </x:c>
      <x:c r="W55" s="4" t="str">
        <x:v>変更/障害時に追試</x:v>
      </x:c>
      <x:c r="X55" s="4" t="str">
        <x:v>未確認の全件を必須にはしない。変更範囲・重大度・障害発生に応じて選択。</x:v>
      </x:c>
      <x:c r="Y55" s="4" t="str">
        <x:v>A1 最優先</x:v>
      </x:c>
      <x:c r="Z55" s="4" t="str">
        <x:v>記録側・閲覧側・非共有側の実機UI＋読取API。権限・時刻・非表示を検査し録画を残す。</x:v>
      </x:c>
    </x:row>
    <x:row r="56" ht="105" customHeight="1">
      <x:c r="A56" s="6" t="n">
        <x:v>49</x:v>
      </x:c>
      <x:c r="B56" s="4" t="str">
        <x:v>04 リアルタイム共有</x:v>
      </x:c>
      <x:c r="C56" s="4" t="str">
        <x:v>共有先変更</x:v>
      </x:c>
      <x:c r="D56" s="4" t="str">
        <x:v>BからCへ共有先変更</x:v>
      </x:c>
      <x:c r="E56" s="4" t="str">
        <x:v>Bの権限は失効し、Cだけへ位置公開される。</x:v>
      </x:c>
      <x:c r="F56" s="4" t="str">
        <x:v>自動実機テスト</x:v>
      </x:c>
      <x:c r="G56" s="7" t="str">
        <x:v>共通</x:v>
      </x:c>
      <x:c r="H56" s="7" t="str">
        <x:v>P0</x:v>
      </x:c>
      <x:c r="I56" s="4" t="str">
        <x:v>標準環境S1</x:v>
      </x:c>
      <x:c r="J56" s="4" t="str">
        <x:v>共有元でBを外しCを選択。BとCの画面・APIを照合。</x:v>
      </x:c>
      <x:c r="K56" s="4" t="str">
        <x:v>同じ操作を両OSで個別に実施</x:v>
      </x:c>
      <x:c r="L56" s="29" t="str">
        <x:v>未実施</x:v>
      </x:c>
      <x:c r="M56" s="29" t="str">
        <x:v>未実施</x:v>
      </x:c>
      <x:c r="N56" s="30" t="str">
        <x:v>現行ビルドで当該手順の実施証跡なし。過去結果と参考試験は右欄。</x:v>
      </x:c>
      <x:c r="O56" s="30" t="str">
        <x:v>現行ビルドで当該手順の実施証跡なし。過去結果と参考試験は右欄。</x:v>
      </x:c>
      <x:c r="P56" s="30" t="str">
        <x:v>E06 / E11</x:v>
      </x:c>
      <x:c r="Q56" s="4" t="str">
        <x:v>実機UI操作＋読取API／端末ログ照合。専用ドライバー整備後に実施。</x:v>
      </x:c>
      <x:c r="R56" s="4" t="str">
        <x:v>本番v2の旧新版形式API・再送・墓標・認可を14項目確認。UI操作やグループ画面全手順の合格を意味しない。 [E06,E11]</x:v>
      </x:c>
      <x:c r="S56" s="4" t="str">
        <x:v>API/ローカルのみ</x:v>
      </x:c>
      <x:c r="T56" s="4" t="str">
        <x:v>API/ローカルのみ</x:v>
      </x:c>
      <x:c r="U56" s="4" t="str">
        <x:v>該当する過去の実機証跡を今回特定できず。未実施と断定せず未確認。</x:v>
      </x:c>
      <x:c r="V56" s="4" t="str">
        <x:v>該当する過去の実機証跡を今回特定できず。未実施と断定せず未確認。</x:v>
      </x:c>
      <x:c r="W56" s="4" t="str">
        <x:v>変更/障害時に追試</x:v>
      </x:c>
      <x:c r="X56" s="4" t="str">
        <x:v>未確認の全件を必須にはしない。変更範囲・重大度・障害発生に応じて選択。</x:v>
      </x:c>
      <x:c r="Y56" s="4" t="str">
        <x:v>A1 最優先</x:v>
      </x:c>
      <x:c r="Z56" s="4" t="str">
        <x:v>記録側・閲覧側・非共有側の実機UI＋読取API。権限・時刻・非表示を検査し録画を残す。</x:v>
      </x:c>
    </x:row>
    <x:row r="57" ht="105" customHeight="1">
      <x:c r="A57" s="6" t="n">
        <x:v>50</x:v>
      </x:c>
      <x:c r="B57" s="4" t="str">
        <x:v>04 リアルタイム共有</x:v>
      </x:c>
      <x:c r="C57" s="4" t="str">
        <x:v>通信</x:v>
      </x:c>
      <x:c r="D57" s="4" t="str">
        <x:v>閲覧側の通信断と復帰</x:v>
      </x:c>
      <x:c r="E57" s="4" t="str">
        <x:v>通信失敗を成功と誤判定せず、復帰後に最新位置と日時へ更新する。</x:v>
      </x:c>
      <x:c r="F57" s="4" t="str">
        <x:v>手動実機テスト</x:v>
      </x:c>
      <x:c r="G57" s="7" t="str">
        <x:v>共通</x:v>
      </x:c>
      <x:c r="H57" s="7" t="str">
        <x:v>P0</x:v>
      </x:c>
      <x:c r="I57" s="4" t="str">
        <x:v>標準環境S1</x:v>
      </x:c>
      <x:c r="J57" s="4" t="str">
        <x:v>閲覧側だけ通信を切り、共有元を移動。復帰して画面を観察する。</x:v>
      </x:c>
      <x:c r="K57" s="4" t="str">
        <x:v>同じ操作を両OSで個別に実施</x:v>
      </x:c>
      <x:c r="L57" s="29" t="str">
        <x:v>未実施</x:v>
      </x:c>
      <x:c r="M57" s="29" t="str">
        <x:v>未実施</x:v>
      </x:c>
      <x:c r="N57" s="30" t="str">
        <x:v>現行ビルドで当該手順の実施証跡なし。過去結果と参考試験は右欄。</x:v>
      </x:c>
      <x:c r="O57" s="30" t="str">
        <x:v>現行ビルドで当該手順の実施証跡なし。過去結果と参考試験は右欄。</x:v>
      </x:c>
      <x:c r="P57" s="30" t="str">
        <x:v>未採番：該当証跡未特定</x:v>
      </x:c>
      <x:c r="Q57" s="4" t="str">
        <x:v>画面観察・録画＋操作時刻・端末ログ／読取APIを照合。</x:v>
      </x:c>
      <x:c r="R57" s="4" t="str">
        <x:v>評価は対象の現行ビルドだけ。旧版/検証版結果を現行OKへ繰り上げない。</x:v>
      </x:c>
      <x:c r="S57" s="4" t="str">
        <x:v>未確認</x:v>
      </x:c>
      <x:c r="T57" s="4" t="str">
        <x:v>未確認</x:v>
      </x:c>
      <x:c r="U57" s="4" t="str">
        <x:v>該当する過去の実機証跡を今回特定できず。未実施と断定せず未確認。</x:v>
      </x:c>
      <x:c r="V57" s="4" t="str">
        <x:v>該当する過去の実機証跡を今回特定できず。未実施と断定せず未確認。</x:v>
      </x:c>
      <x:c r="W57" s="4" t="str">
        <x:v>変更/障害時に追試</x:v>
      </x:c>
      <x:c r="X57" s="4" t="str">
        <x:v>未確認の全件を必須にはしない。変更範囲・重大度・障害発生に応じて選択。</x:v>
      </x:c>
      <x:c r="Y57" s="4" t="str">
        <x:v>手動中心</x:v>
      </x:c>
      <x:c r="Z57" s="4" t="str">
        <x:v>実移動・権限ダイアログ・課金確認は手動。ログ/時刻/件数収集と比較を補助自動化。</x:v>
      </x:c>
    </x:row>
    <x:row r="58" ht="105" customHeight="1">
      <x:c r="A58" s="9" t="n">
        <x:v>51</x:v>
      </x:c>
      <x:c r="B58" s="10" t="str">
        <x:v>05 履歴・地図・時刻</x:v>
      </x:c>
      <x:c r="C58" s="10" t="str">
        <x:v>履歴</x:v>
      </x:c>
      <x:c r="D58" s="10" t="str">
        <x:v>自分の保存済み履歴一覧</x:v>
      </x:c>
      <x:c r="E58" s="10" t="str">
        <x:v>自分の記録を欠落・重複なく表示し、名称・日時・距離が対象IDに対応する。</x:v>
      </x:c>
      <x:c r="F58" s="10" t="str">
        <x:v>自動実機テスト</x:v>
      </x:c>
      <x:c r="G58" s="11" t="str">
        <x:v>共通</x:v>
      </x:c>
      <x:c r="H58" s="11" t="str">
        <x:v>P0</x:v>
      </x:c>
      <x:c r="I58" s="10" t="str">
        <x:v>標準環境S1</x:v>
      </x:c>
      <x:c r="J58" s="10" t="str">
        <x:v>複数の名前・日付を持つ保存データを履歴表示。</x:v>
      </x:c>
      <x:c r="K58" s="10" t="str">
        <x:v>同じ操作を両OSで個別に実施</x:v>
      </x:c>
      <x:c r="L58" s="29" t="str">
        <x:v>保留</x:v>
      </x:c>
      <x:c r="M58" s="29" t="str">
        <x:v>保留</x:v>
      </x:c>
      <x:c r="N58" s="30" t="str">
        <x:v>対象：1.0.5(12)／証跡照合日2026-10-26。実施：利用者操作＋ログ/クラウド照合。1.0.5(12)保存済み地図とサーバー全行保持を確認。履歴一覧全件のUI読込を走査した結果ではない。</x:v>
      </x:c>
      <x:c r="O58" s="30" t="str">
        <x:v>対象：1.0.5(27)／証跡照合日2026-10-26。実施：利用者操作＋ログ/クラウド照合。1.0.5(27)保存済み地図とサーバー全行保持を確認。履歴一覧全件のUI読込を走査した結果ではない。</x:v>
      </x:c>
      <x:c r="P58" s="30" t="str">
        <x:v>E01 / E02 / E04 / E07</x:v>
      </x:c>
      <x:c r="Q58" s="4" t="str">
        <x:v>実機UI操作＋読取API／端末ログ照合。専用ドライバー整備後に実施。</x:v>
      </x:c>
      <x:c r="R58" s="4" t="str">
        <x:v>評価は対象の現行ビルドだけ。旧版/検証版結果を現行OKへ繰り上げない。</x:v>
      </x:c>
      <x:c r="S58" s="4" t="str">
        <x:v>現行部分確認</x:v>
      </x:c>
      <x:c r="T58" s="4" t="str">
        <x:v>現行部分確認</x:v>
      </x:c>
      <x:c r="U58" s="4" t="str">
        <x:v>iOS1.0.4(104)ローカル：保存・破棄・再起動保持、既存記録の履歴/カレンダー地図を確認。保存前の名前入力復元・上限後復旧のiOS実機証拠はない。 [E07]</x:v>
      </x:c>
      <x:c r="V58" s="4" t="str">
        <x:v>検証104／2026-10-24：保存・破棄・上限後の名前入力再表示・保存後再開を実機/API確認。現行27で同じシナリオを再実施したものではない。 [E07]</x:v>
      </x:c>
      <x:c r="W58" s="4" t="str">
        <x:v>通常回帰・未確認</x:v>
      </x:c>
      <x:c r="X58" s="4" t="str">
        <x:v>未確認の全件を必須にはしない。変更範囲・重大度・障害発生に応じて選択。</x:v>
      </x:c>
      <x:c r="Y58" s="4" t="str">
        <x:v>A2 次優先</x:v>
      </x:c>
      <x:c r="Z58" s="4" t="str">
        <x:v>安定した実機UIドライバーとfixtureを整備し、対象OSの評価欄へ証跡付きで記録。</x:v>
      </x:c>
    </x:row>
    <x:row r="59" ht="105" customHeight="1">
      <x:c r="A59" s="6" t="n">
        <x:v>52</x:v>
      </x:c>
      <x:c r="B59" s="4" t="str">
        <x:v>05 履歴・地図・時刻</x:v>
      </x:c>
      <x:c r="C59" s="4" t="str">
        <x:v>地図</x:v>
      </x:c>
      <x:c r="D59" s="4" t="str">
        <x:v>保存済み経路を開く</x:v>
      </x:c>
      <x:c r="E59" s="4" t="str">
        <x:v>地図タイル・経路線・地点順序・時間・距離が元ログと一致する。</x:v>
      </x:c>
      <x:c r="F59" s="4" t="str">
        <x:v>手動実機テスト</x:v>
      </x:c>
      <x:c r="G59" s="7" t="str">
        <x:v>共通</x:v>
      </x:c>
      <x:c r="H59" s="7" t="str">
        <x:v>P0</x:v>
      </x:c>
      <x:c r="I59" s="4" t="str">
        <x:v>標準環境S1</x:v>
      </x:c>
      <x:c r="J59" s="4" t="str">
        <x:v>履歴から移動ありの記録を1件開く。</x:v>
      </x:c>
      <x:c r="K59" s="4" t="str">
        <x:v>同じ操作を両OSで個別に実施</x:v>
      </x:c>
      <x:c r="L59" s="29" t="str">
        <x:v>保留</x:v>
      </x:c>
      <x:c r="M59" s="29" t="str">
        <x:v>OK</x:v>
      </x:c>
      <x:c r="N59" s="30" t="str">
        <x:v>対象：1.0.5(12)／証跡照合日2026-10-26。実施：利用者操作＋ログ/クラウド照合。1.0.5(12)で既存地図を開けることは確認。今回の新記録は0mで線なし。移動ありの新記録の点順と線は未確認。</x:v>
      </x:c>
      <x:c r="O59" s="30" t="str">
        <x:v>対象：1.0.5(27)／証跡照合日2026-10-26。実施：利用者操作＋ログ/クラウド照合。1.0.5(27)で新保存1:05／1m／経路線あり。旧「10/25 ランニング 立川」02:28:49／19,089m／経路線を更新後確認。</x:v>
      </x:c>
      <x:c r="P59" s="30" t="str">
        <x:v>E01 / E02 / E07</x:v>
      </x:c>
      <x:c r="Q59" s="4" t="str">
        <x:v>画面観察・録画＋操作時刻・端末ログ／読取APIを照合。</x:v>
      </x:c>
      <x:c r="R59" s="4" t="str">
        <x:v>評価は対象の現行ビルドだけ。旧版/検証版結果を現行OKへ繰り上げない。</x:v>
      </x:c>
      <x:c r="S59" s="4" t="str">
        <x:v>現行部分確認</x:v>
      </x:c>
      <x:c r="T59" s="4" t="str">
        <x:v>現行OK</x:v>
      </x:c>
      <x:c r="U59" s="4" t="str">
        <x:v>iOS1.0.4(104)ローカル：保存・破棄・再起動保持、既存記録の履歴/カレンダー地図を確認。保存前の名前入力復元・上限後復旧のiOS実機証拠はない。 [E07]</x:v>
      </x:c>
      <x:c r="V59" s="4" t="str">
        <x:v>検証104／2026-10-24：保存・破棄・上限後の名前入力再表示・保存後再開を実機/API確認。現行27で同じシナリオを再実施したものではない。 [E07]</x:v>
      </x:c>
      <x:c r="W59" s="4" t="str">
        <x:v>通常回帰・未確認</x:v>
      </x:c>
      <x:c r="X59" s="4" t="str">
        <x:v>未確認の全件を必須にはしない。変更範囲・重大度・障害発生に応じて選択。</x:v>
      </x:c>
      <x:c r="Y59" s="4" t="str">
        <x:v>手動中心</x:v>
      </x:c>
      <x:c r="Z59" s="4" t="str">
        <x:v>実移動・権限ダイアログ・課金確認は手動。ログ/時刻/件数収集と比較を補助自動化。</x:v>
      </x:c>
    </x:row>
    <x:row r="60" ht="105" customHeight="1">
      <x:c r="A60" s="6" t="n">
        <x:v>53</x:v>
      </x:c>
      <x:c r="B60" s="4" t="str">
        <x:v>05 履歴・地図・時刻</x:v>
      </x:c>
      <x:c r="C60" s="4" t="str">
        <x:v>地図</x:v>
      </x:c>
      <x:c r="D60" s="4" t="str">
        <x:v>0m記録の地図</x:v>
      </x:c>
      <x:c r="E60" s="4" t="str">
        <x:v>地図が開き、距離0mでも異常終了しない。線なしを許容する。</x:v>
      </x:c>
      <x:c r="F60" s="4" t="str">
        <x:v>手動実機テスト</x:v>
      </x:c>
      <x:c r="G60" s="7" t="str">
        <x:v>共通</x:v>
      </x:c>
      <x:c r="H60" s="7" t="str">
        <x:v>P0</x:v>
      </x:c>
      <x:c r="I60" s="4" t="str">
        <x:v>標準環境S1</x:v>
      </x:c>
      <x:c r="J60" s="4" t="str">
        <x:v>同地点のみの保存済み記録を開く。</x:v>
      </x:c>
      <x:c r="K60" s="4" t="str">
        <x:v>同じ操作を両OSで個別に実施</x:v>
      </x:c>
      <x:c r="L60" s="29" t="str">
        <x:v>OK</x:v>
      </x:c>
      <x:c r="M60" s="29" t="str">
        <x:v>未実施</x:v>
      </x:c>
      <x:c r="N60" s="30" t="str">
        <x:v>対象：1.0.5(12)／証跡照合日2026-10-26。実施：利用者操作＋ログ/クラウド照合。1.0.5(12)で新保存1:10／0m／経路線なし、地図が開く。0mを理由に失敗とはしない。</x:v>
      </x:c>
      <x:c r="O60" s="30" t="str">
        <x:v>現行ビルドで当該手順の実施証跡なし。過去結果と参考試験は右欄。</x:v>
      </x:c>
      <x:c r="P60" s="30" t="str">
        <x:v>E01 / E02 / E07</x:v>
      </x:c>
      <x:c r="Q60" s="4" t="str">
        <x:v>画面観察・録画＋操作時刻・端末ログ／読取APIを照合。</x:v>
      </x:c>
      <x:c r="R60" s="4" t="str">
        <x:v>評価は対象の現行ビルドだけ。旧版/検証版結果を現行OKへ繰り上げない。</x:v>
      </x:c>
      <x:c r="S60" s="4" t="str">
        <x:v>現行OK</x:v>
      </x:c>
      <x:c r="T60" s="4" t="str">
        <x:v>未確認</x:v>
      </x:c>
      <x:c r="U60" s="4" t="str">
        <x:v>iOS1.0.4(104)ローカル：保存・破棄・再起動保持、既存記録の履歴/カレンダー地図を確認。保存前の名前入力復元・上限後復旧のiOS実機証拠はない。 [E07]</x:v>
      </x:c>
      <x:c r="V60" s="4" t="str">
        <x:v>該当する過去の実機証跡を今回特定できず。未実施と断定せず未確認。</x:v>
      </x:c>
      <x:c r="W60" s="4" t="str">
        <x:v>通常回帰・未確認</x:v>
      </x:c>
      <x:c r="X60" s="4" t="str">
        <x:v>未確認の全件を必須にはしない。変更範囲・重大度・障害発生に応じて選択。</x:v>
      </x:c>
      <x:c r="Y60" s="4" t="str">
        <x:v>手動中心</x:v>
      </x:c>
      <x:c r="Z60" s="4" t="str">
        <x:v>実移動・権限ダイアログ・課金確認は手動。ログ/時刻/件数収集と比較を補助自動化。</x:v>
      </x:c>
    </x:row>
    <x:row r="61" ht="105" customHeight="1">
      <x:c r="A61" s="6" t="n">
        <x:v>54</x:v>
      </x:c>
      <x:c r="B61" s="4" t="str">
        <x:v>05 履歴・地図・時刻</x:v>
      </x:c>
      <x:c r="C61" s="4" t="str">
        <x:v>時刻</x:v>
      </x:c>
      <x:c r="D61" s="4" t="str">
        <x:v>原ログ開始・終了時刻の採用</x:v>
      </x:c>
      <x:c r="E61" s="4" t="str">
        <x:v>最初と最後の原ログに基づく記録期間を表示し、採用地点間の短い期間へ縮まらない。</x:v>
      </x:c>
      <x:c r="F61" s="4" t="str">
        <x:v>自動実機テスト</x:v>
      </x:c>
      <x:c r="G61" s="7" t="str">
        <x:v>共通</x:v>
      </x:c>
      <x:c r="H61" s="7" t="str">
        <x:v>P0</x:v>
      </x:c>
      <x:c r="I61" s="4" t="str">
        <x:v>S2＋始終端fixture</x:v>
      </x:c>
      <x:c r="J61" s="4" t="str">
        <x:v>始終端が間引かれた記録を保存し、履歴・地図・サマリーを照合。</x:v>
      </x:c>
      <x:c r="K61" s="4" t="str">
        <x:v>同じ操作を両OSで個別に実施</x:v>
      </x:c>
      <x:c r="L61" s="29" t="str">
        <x:v>保留</x:v>
      </x:c>
      <x:c r="M61" s="29" t="str">
        <x:v>保留</x:v>
      </x:c>
      <x:c r="N61" s="30" t="str">
        <x:v>対象：1.0.5(12)／証跡照合日2026-10-26。実施：利用者操作＋ログ/クラウド照合。1.0.5(12)今回保存の原ログ最小/最大時刻とサマリー一致。指定の始終端間引きfixtureを実機投入した証拠はない。</x:v>
      </x:c>
      <x:c r="O61" s="30" t="str">
        <x:v>対象：1.0.5(27)／証跡照合日2026-10-26。実施：利用者操作＋ログ/クラウド照合。1.0.5(27)今回保存の原ログ最小/最大時刻とサマリー一致。指定の始終端間引きfixtureを実機投入した証拠はない。</x:v>
      </x:c>
      <x:c r="P61" s="30" t="str">
        <x:v>E01 / E02 / E13 / E12</x:v>
      </x:c>
      <x:c r="Q61" s="4" t="str">
        <x:v>実機UI操作＋読取API／端末ログ照合。専用ドライバー整備後に実施。</x:v>
      </x:c>
      <x:c r="R61" s="4" t="str">
        <x:v>原ログ時刻の空/1点/無効/順不同/日週月年境界と表示回帰をローカル検証。端末で境界fixtureを再現してはいない。 [E12,E13]</x:v>
      </x:c>
      <x:c r="S61" s="4" t="str">
        <x:v>現行部分確認</x:v>
      </x:c>
      <x:c r="T61" s="4" t="str">
        <x:v>現行部分確認</x:v>
      </x:c>
      <x:c r="U61" s="4" t="str">
        <x:v>該当する過去の実機証跡を今回特定できず。未実施と断定せず未確認。</x:v>
      </x:c>
      <x:c r="V61" s="4" t="str">
        <x:v>該当する過去の実機証跡を今回特定できず。未実施と断定せず未確認。</x:v>
      </x:c>
      <x:c r="W61" s="4" t="str">
        <x:v>通常回帰・未確認</x:v>
      </x:c>
      <x:c r="X61" s="4" t="str">
        <x:v>未確認の全件を必須にはしない。変更範囲・重大度・障害発生に応じて選択。</x:v>
      </x:c>
      <x:c r="Y61" s="4" t="str">
        <x:v>A1 最優先</x:v>
      </x:c>
      <x:c r="Z61" s="4" t="str">
        <x:v>記録側・閲覧側・非共有側の実機UI＋読取API。権限・時刻・非表示を検査し録画を残す。</x:v>
      </x:c>
    </x:row>
    <x:row r="62" ht="105" customHeight="1">
      <x:c r="A62" s="6" t="n">
        <x:v>55</x:v>
      </x:c>
      <x:c r="B62" s="4" t="str">
        <x:v>05 履歴・地図・時刻</x:v>
      </x:c>
      <x:c r="C62" s="4" t="str">
        <x:v>時刻</x:v>
      </x:c>
      <x:c r="D62" s="4" t="str">
        <x:v>2時間を超える時間表示</x:v>
      </x:c>
      <x:c r="E62" s="4" t="str">
        <x:v>02:28:49など総時間を保持し、日付・分・秒の桁崩れや切捨てがない。</x:v>
      </x:c>
      <x:c r="F62" s="4" t="str">
        <x:v>自動実機テスト</x:v>
      </x:c>
      <x:c r="G62" s="7" t="str">
        <x:v>共通</x:v>
      </x:c>
      <x:c r="H62" s="7" t="str">
        <x:v>P0</x:v>
      </x:c>
      <x:c r="I62" s="4" t="str">
        <x:v>S2＋長時間fixture</x:v>
      </x:c>
      <x:c r="J62" s="4" t="str">
        <x:v>2時間28分49秒の既存fixtureを地図表示する。</x:v>
      </x:c>
      <x:c r="K62" s="4" t="str">
        <x:v>同じ操作を両OSで個別に実施</x:v>
      </x:c>
      <x:c r="L62" s="29" t="str">
        <x:v>未実施</x:v>
      </x:c>
      <x:c r="M62" s="29" t="str">
        <x:v>OK</x:v>
      </x:c>
      <x:c r="N62" s="30" t="str">
        <x:v>現行ビルドで当該手順の実施証跡なし。過去結果と参考試験は右欄。</x:v>
      </x:c>
      <x:c r="O62" s="30" t="str">
        <x:v>対象：1.0.5(27)／証跡照合日2026-10-26。実施：利用者操作＋ログ/クラウド照合。1.0.5(27)で新保存1:05／1m／経路線あり。旧「10/25 ランニング 立川」02:28:49／19,089m／経路線を更新後確認。</x:v>
      </x:c>
      <x:c r="P62" s="30" t="str">
        <x:v>E01 / E02</x:v>
      </x:c>
      <x:c r="Q62" s="4" t="str">
        <x:v>実機UI操作＋読取API／端末ログ照合。専用ドライバー整備後に実施。</x:v>
      </x:c>
      <x:c r="R62" s="4" t="str">
        <x:v>評価は対象の現行ビルドだけ。旧版/検証版結果を現行OKへ繰り上げない。</x:v>
      </x:c>
      <x:c r="S62" s="4" t="str">
        <x:v>未確認</x:v>
      </x:c>
      <x:c r="T62" s="4" t="str">
        <x:v>現行OK</x:v>
      </x:c>
      <x:c r="U62" s="4" t="str">
        <x:v>該当する過去の実機証跡を今回特定できず。未実施と断定せず未確認。</x:v>
      </x:c>
      <x:c r="V62" s="4" t="str">
        <x:v>該当する過去の実機証跡を今回特定できず。未実施と断定せず未確認。</x:v>
      </x:c>
      <x:c r="W62" s="4" t="str">
        <x:v>通常回帰・未確認</x:v>
      </x:c>
      <x:c r="X62" s="4" t="str">
        <x:v>未確認の全件を必須にはしない。変更範囲・重大度・障害発生に応じて選択。</x:v>
      </x:c>
      <x:c r="Y62" s="4" t="str">
        <x:v>A2 次優先</x:v>
      </x:c>
      <x:c r="Z62" s="4" t="str">
        <x:v>安定した実機UIドライバーとfixtureを整備し、対象OSの評価欄へ証跡付きで記録。</x:v>
      </x:c>
    </x:row>
    <x:row r="63" ht="105" customHeight="1">
      <x:c r="A63" s="6" t="n">
        <x:v>56</x:v>
      </x:c>
      <x:c r="B63" s="4" t="str">
        <x:v>05 履歴・地図・時刻</x:v>
      </x:c>
      <x:c r="C63" s="4" t="str">
        <x:v>時刻</x:v>
      </x:c>
      <x:c r="D63" s="4" t="str">
        <x:v>日付・月またぎ</x:v>
      </x:c>
      <x:c r="E63" s="4" t="str">
        <x:v>原ログ時刻が逆転せず、日付帰属は採用仕様と一致し二重集計しない。</x:v>
      </x:c>
      <x:c r="F63" s="4" t="str">
        <x:v>自動実機テスト</x:v>
      </x:c>
      <x:c r="G63" s="7" t="str">
        <x:v>共通</x:v>
      </x:c>
      <x:c r="H63" s="7" t="str">
        <x:v>P1</x:v>
      </x:c>
      <x:c r="I63" s="4" t="str">
        <x:v>S2＋境界fixture。端末時計は変更しない</x:v>
      </x:c>
      <x:c r="J63" s="4" t="str">
        <x:v>月末23:59から翌月へまたぐ記録を専用fixtureで表示・保存する。</x:v>
      </x:c>
      <x:c r="K63" s="4" t="str">
        <x:v>同じ操作を両OSで個別に実施</x:v>
      </x:c>
      <x:c r="L63" s="29" t="str">
        <x:v>未実施</x:v>
      </x:c>
      <x:c r="M63" s="29" t="str">
        <x:v>未実施</x:v>
      </x:c>
      <x:c r="N63" s="30" t="str">
        <x:v>現行ビルドで当該手順の実施証跡なし。過去結果と参考試験は右欄。</x:v>
      </x:c>
      <x:c r="O63" s="30" t="str">
        <x:v>現行ビルドで当該手順の実施証跡なし。過去結果と参考試験は右欄。</x:v>
      </x:c>
      <x:c r="P63" s="30" t="str">
        <x:v>E12 / E13</x:v>
      </x:c>
      <x:c r="Q63" s="4" t="str">
        <x:v>実機UI操作＋読取API／端末ログ照合。専用ドライバー整備後に実施。</x:v>
      </x:c>
      <x:c r="R63" s="4" t="str">
        <x:v>原ログ時刻の空/1点/無効/順不同/日週月年境界と表示回帰をローカル検証。端末で境界fixtureを再現してはいない。 [E12,E13]</x:v>
      </x:c>
      <x:c r="S63" s="4" t="str">
        <x:v>API/ローカルのみ</x:v>
      </x:c>
      <x:c r="T63" s="4" t="str">
        <x:v>API/ローカルのみ</x:v>
      </x:c>
      <x:c r="U63" s="4" t="str">
        <x:v>該当する過去の実機証跡を今回特定できず。未実施と断定せず未確認。</x:v>
      </x:c>
      <x:c r="V63" s="4" t="str">
        <x:v>該当する過去の実機証跡を今回特定できず。未実施と断定せず未確認。</x:v>
      </x:c>
      <x:c r="W63" s="4" t="str">
        <x:v>変更/障害時に追試</x:v>
      </x:c>
      <x:c r="X63" s="4" t="str">
        <x:v>未確認の全件を必須にはしない。変更範囲・重大度・障害発生に応じて選択。</x:v>
      </x:c>
      <x:c r="Y63" s="4" t="str">
        <x:v>A1 最優先</x:v>
      </x:c>
      <x:c r="Z63" s="4" t="str">
        <x:v>記録側・閲覧側・非共有側の実機UI＋読取API。権限・時刻・非表示を検査し録画を残す。</x:v>
      </x:c>
    </x:row>
    <x:row r="64" ht="105" customHeight="1">
      <x:c r="A64" s="6" t="n">
        <x:v>57</x:v>
      </x:c>
      <x:c r="B64" s="4" t="str">
        <x:v>05 履歴・地図・時刻</x:v>
      </x:c>
      <x:c r="C64" s="4" t="str">
        <x:v>時刻</x:v>
      </x:c>
      <x:c r="D64" s="4" t="str">
        <x:v>旧サマリー欠落項目</x:v>
      </x:c>
      <x:c r="E64" s="4" t="str">
        <x:v>互換フォールバックで表示でき、既存データを書き換えずに時間を算出する。</x:v>
      </x:c>
      <x:c r="F64" s="4" t="str">
        <x:v>自動実機テスト</x:v>
      </x:c>
      <x:c r="G64" s="7" t="str">
        <x:v>共通</x:v>
      </x:c>
      <x:c r="H64" s="7" t="str">
        <x:v>P0</x:v>
      </x:c>
      <x:c r="I64" s="4" t="str">
        <x:v>S2＋旧版fixture</x:v>
      </x:c>
      <x:c r="J64" s="4" t="str">
        <x:v>旧版作成で新しい時刻項目のない記録を開く。</x:v>
      </x:c>
      <x:c r="K64" s="4" t="str">
        <x:v>同じ操作を両OSで個別に実施</x:v>
      </x:c>
      <x:c r="L64" s="29" t="str">
        <x:v>未実施</x:v>
      </x:c>
      <x:c r="M64" s="29" t="str">
        <x:v>未実施</x:v>
      </x:c>
      <x:c r="N64" s="30" t="str">
        <x:v>現行ビルドで当該手順の実施証跡なし。過去結果と参考試験は右欄。</x:v>
      </x:c>
      <x:c r="O64" s="30" t="str">
        <x:v>現行ビルドで当該手順の実施証跡なし。過去結果と参考試験は右欄。</x:v>
      </x:c>
      <x:c r="P64" s="30" t="str">
        <x:v>E12 / E13</x:v>
      </x:c>
      <x:c r="Q64" s="4" t="str">
        <x:v>実機UI操作＋読取API／端末ログ照合。専用ドライバー整備後に実施。</x:v>
      </x:c>
      <x:c r="R64" s="4" t="str">
        <x:v>原ログ時刻の空/1点/無効/順不同/日週月年境界と表示回帰をローカル検証。端末で境界fixtureを再現してはいない。 [E12,E13]</x:v>
      </x:c>
      <x:c r="S64" s="4" t="str">
        <x:v>API/ローカルのみ</x:v>
      </x:c>
      <x:c r="T64" s="4" t="str">
        <x:v>API/ローカルのみ</x:v>
      </x:c>
      <x:c r="U64" s="4" t="str">
        <x:v>該当する過去の実機証跡を今回特定できず。未実施と断定せず未確認。</x:v>
      </x:c>
      <x:c r="V64" s="4" t="str">
        <x:v>該当する過去の実機証跡を今回特定できず。未実施と断定せず未確認。</x:v>
      </x:c>
      <x:c r="W64" s="4" t="str">
        <x:v>変更/障害時に追試</x:v>
      </x:c>
      <x:c r="X64" s="4" t="str">
        <x:v>未確認の全件を必須にはしない。変更範囲・重大度・障害発生に応じて選択。</x:v>
      </x:c>
      <x:c r="Y64" s="4" t="str">
        <x:v>A1 最優先</x:v>
      </x:c>
      <x:c r="Z64" s="4" t="str">
        <x:v>記録側・閲覧側・非共有側の実機UI＋読取API。権限・時刻・非表示を検査し録画を残す。</x:v>
      </x:c>
    </x:row>
    <x:row r="65" ht="105" customHeight="1">
      <x:c r="A65" s="6" t="n">
        <x:v>58</x:v>
      </x:c>
      <x:c r="B65" s="4" t="str">
        <x:v>05 履歴・地図・時刻</x:v>
      </x:c>
      <x:c r="C65" s="4" t="str">
        <x:v>削除</x:v>
      </x:c>
      <x:c r="D65" s="4" t="str">
        <x:v>履歴から自分の1件だけ削除</x:v>
      </x:c>
      <x:c r="E65" s="4" t="str">
        <x:v>対象地点・索引・集計だけが除去され、他の履歴や未送信は保持される。</x:v>
      </x:c>
      <x:c r="F65" s="4" t="str">
        <x:v>手動実機テスト</x:v>
      </x:c>
      <x:c r="G65" s="7" t="str">
        <x:v>共通</x:v>
      </x:c>
      <x:c r="H65" s="7" t="str">
        <x:v>P1</x:v>
      </x:c>
      <x:c r="I65" s="4" t="str">
        <x:v>削除可能な専用テスト記録のみ</x:v>
      </x:c>
      <x:c r="J65" s="4" t="str">
        <x:v>専用の保存済みテスト記録1件を削除し、他記録と集計を比較。</x:v>
      </x:c>
      <x:c r="K65" s="4" t="str">
        <x:v>同じ操作を両OSで個別に実施</x:v>
      </x:c>
      <x:c r="L65" s="29" t="str">
        <x:v>未実施</x:v>
      </x:c>
      <x:c r="M65" s="29" t="str">
        <x:v>未実施</x:v>
      </x:c>
      <x:c r="N65" s="30" t="str">
        <x:v>現行ビルドで当該手順の実施証跡なし。過去結果と参考試験は右欄。</x:v>
      </x:c>
      <x:c r="O65" s="30" t="str">
        <x:v>現行ビルドで当該手順の実施証跡なし。過去結果と参考試験は右欄。</x:v>
      </x:c>
      <x:c r="P65" s="30" t="str">
        <x:v>未採番：該当証跡未特定</x:v>
      </x:c>
      <x:c r="Q65" s="4" t="str">
        <x:v>画面観察・録画＋操作時刻・端末ログ／読取APIを照合。</x:v>
      </x:c>
      <x:c r="R65" s="4" t="str">
        <x:v>評価は対象の現行ビルドだけ。旧版/検証版結果を現行OKへ繰り上げない。</x:v>
      </x:c>
      <x:c r="S65" s="4" t="str">
        <x:v>未確認</x:v>
      </x:c>
      <x:c r="T65" s="4" t="str">
        <x:v>未確認</x:v>
      </x:c>
      <x:c r="U65" s="4" t="str">
        <x:v>該当する過去の実機証跡を今回特定できず。未実施と断定せず未確認。</x:v>
      </x:c>
      <x:c r="V65" s="4" t="str">
        <x:v>該当する過去の実機証跡を今回特定できず。未実施と断定せず未確認。</x:v>
      </x:c>
      <x:c r="W65" s="4" t="str">
        <x:v>通常回帰・未確認</x:v>
      </x:c>
      <x:c r="X65" s="4" t="str">
        <x:v>未確認の全件を必須にはしない。変更範囲・重大度・障害発生に応じて選択。</x:v>
      </x:c>
      <x:c r="Y65" s="4" t="str">
        <x:v>手動中心</x:v>
      </x:c>
      <x:c r="Z65" s="4" t="str">
        <x:v>実移動・権限ダイアログ・課金確認は手動。ログ/時刻/件数収集と比較を補助自動化。</x:v>
      </x:c>
    </x:row>
    <x:row r="66" ht="105" customHeight="1">
      <x:c r="A66" s="6" t="n">
        <x:v>59</x:v>
      </x:c>
      <x:c r="B66" s="4" t="str">
        <x:v>05 履歴・地図・時刻</x:v>
      </x:c>
      <x:c r="C66" s="4" t="str">
        <x:v>区分</x:v>
      </x:c>
      <x:c r="D66" s="4" t="str">
        <x:v>Premiumでアクティビティ区分変更</x:v>
      </x:c>
      <x:c r="E66" s="4" t="str">
        <x:v>区分が保持され、区分別集計が整合する。</x:v>
      </x:c>
      <x:c r="F66" s="4" t="str">
        <x:v>自動実機テスト</x:v>
      </x:c>
      <x:c r="G66" s="7" t="str">
        <x:v>共通</x:v>
      </x:c>
      <x:c r="H66" s="7" t="str">
        <x:v>P1</x:v>
      </x:c>
      <x:c r="I66" s="4" t="str">
        <x:v>S1＋Premium専用アカウント</x:v>
      </x:c>
      <x:c r="J66" s="4" t="str">
        <x:v>専用記録の区分をウォーキングからランニングへ変更し、履歴・分析を再表示。</x:v>
      </x:c>
      <x:c r="K66" s="4" t="str">
        <x:v>同じ操作を両OSで個別に実施</x:v>
      </x:c>
      <x:c r="L66" s="29" t="str">
        <x:v>未実施</x:v>
      </x:c>
      <x:c r="M66" s="29" t="str">
        <x:v>未実施</x:v>
      </x:c>
      <x:c r="N66" s="30" t="str">
        <x:v>現行ビルドで当該手順の実施証跡なし。過去結果と参考試験は右欄。</x:v>
      </x:c>
      <x:c r="O66" s="30" t="str">
        <x:v>現行ビルドで当該手順の実施証跡なし。過去結果と参考試験は右欄。</x:v>
      </x:c>
      <x:c r="P66" s="30" t="str">
        <x:v>未採番：該当証跡未特定</x:v>
      </x:c>
      <x:c r="Q66" s="4" t="str">
        <x:v>実機UI操作＋読取API／端末ログ照合。専用ドライバー整備後に実施。</x:v>
      </x:c>
      <x:c r="R66" s="4" t="str">
        <x:v>評価は対象の現行ビルドだけ。旧版/検証版結果を現行OKへ繰り上げない。</x:v>
      </x:c>
      <x:c r="S66" s="4" t="str">
        <x:v>未確認</x:v>
      </x:c>
      <x:c r="T66" s="4" t="str">
        <x:v>未確認</x:v>
      </x:c>
      <x:c r="U66" s="4" t="str">
        <x:v>該当する過去の実機証跡を今回特定できず。未実施と断定せず未確認。</x:v>
      </x:c>
      <x:c r="V66" s="4" t="str">
        <x:v>該当する過去の実機証跡を今回特定できず。未実施と断定せず未確認。</x:v>
      </x:c>
      <x:c r="W66" s="4" t="str">
        <x:v>通常回帰・未確認</x:v>
      </x:c>
      <x:c r="X66" s="4" t="str">
        <x:v>未確認の全件を必須にはしない。変更範囲・重大度・障害発生に応じて選択。</x:v>
      </x:c>
      <x:c r="Y66" s="4" t="str">
        <x:v>A2 次優先</x:v>
      </x:c>
      <x:c r="Z66" s="4" t="str">
        <x:v>安定した実機UIドライバーとfixtureを整備し、対象OSの評価欄へ証跡付きで記録。</x:v>
      </x:c>
    </x:row>
    <x:row r="67" ht="105" customHeight="1">
      <x:c r="A67" s="6" t="n">
        <x:v>60</x:v>
      </x:c>
      <x:c r="B67" s="4" t="str">
        <x:v>05 履歴・地図・時刻</x:v>
      </x:c>
      <x:c r="C67" s="4" t="str">
        <x:v>一覧</x:v>
      </x:c>
      <x:c r="D67" s="4" t="str">
        <x:v>大量履歴の追加読込</x:v>
      </x:c>
      <x:c r="E67" s="4" t="str">
        <x:v>追加読込で欠落・重複せず、対象記録を開ける。</x:v>
      </x:c>
      <x:c r="F67" s="4" t="str">
        <x:v>自動実機テスト</x:v>
      </x:c>
      <x:c r="G67" s="7" t="str">
        <x:v>共通</x:v>
      </x:c>
      <x:c r="H67" s="7" t="str">
        <x:v>P1</x:v>
      </x:c>
      <x:c r="I67" s="4" t="str">
        <x:v>S2＋大量履歴fixture</x:v>
      </x:c>
      <x:c r="J67" s="4" t="str">
        <x:v>ページ上限を超える履歴を用意して末尾まで表示する。</x:v>
      </x:c>
      <x:c r="K67" s="4" t="str">
        <x:v>同じ操作を両OSで個別に実施</x:v>
      </x:c>
      <x:c r="L67" s="29" t="str">
        <x:v>未実施</x:v>
      </x:c>
      <x:c r="M67" s="29" t="str">
        <x:v>未実施</x:v>
      </x:c>
      <x:c r="N67" s="30" t="str">
        <x:v>現行ビルドで当該手順の実施証跡なし。過去結果と参考試験は右欄。</x:v>
      </x:c>
      <x:c r="O67" s="30" t="str">
        <x:v>現行ビルドで当該手順の実施証跡なし。過去結果と参考試験は右欄。</x:v>
      </x:c>
      <x:c r="P67" s="30" t="str">
        <x:v>未採番：該当証跡未特定</x:v>
      </x:c>
      <x:c r="Q67" s="4" t="str">
        <x:v>実機UI操作＋読取API／端末ログ照合。専用ドライバー整備後に実施。</x:v>
      </x:c>
      <x:c r="R67" s="4" t="str">
        <x:v>評価は対象の現行ビルドだけ。旧版/検証版結果を現行OKへ繰り上げない。</x:v>
      </x:c>
      <x:c r="S67" s="4" t="str">
        <x:v>未確認</x:v>
      </x:c>
      <x:c r="T67" s="4" t="str">
        <x:v>未確認</x:v>
      </x:c>
      <x:c r="U67" s="4" t="str">
        <x:v>該当する過去の実機証跡を今回特定できず。未実施と断定せず未確認。</x:v>
      </x:c>
      <x:c r="V67" s="4" t="str">
        <x:v>該当する過去の実機証跡を今回特定できず。未実施と断定せず未確認。</x:v>
      </x:c>
      <x:c r="W67" s="4" t="str">
        <x:v>通常回帰・未確認</x:v>
      </x:c>
      <x:c r="X67" s="4" t="str">
        <x:v>未確認の全件を必須にはしない。変更範囲・重大度・障害発生に応じて選択。</x:v>
      </x:c>
      <x:c r="Y67" s="4" t="str">
        <x:v>A2 次優先</x:v>
      </x:c>
      <x:c r="Z67" s="4" t="str">
        <x:v>安定した実機UIドライバーとfixtureを整備し、対象OSの評価欄へ証跡付きで記録。</x:v>
      </x:c>
    </x:row>
    <x:row r="68" ht="105" customHeight="1">
      <x:c r="A68" s="9" t="n">
        <x:v>61</x:v>
      </x:c>
      <x:c r="B68" s="10" t="str">
        <x:v>06 履歴共有・グループ権限</x:v>
      </x:c>
      <x:c r="C68" s="10" t="str">
        <x:v>グループ</x:v>
      </x:c>
      <x:c r="D68" s="10" t="str">
        <x:v>作成と招待コード参加</x:v>
      </x:c>
      <x:c r="E68" s="10" t="str">
        <x:v>作成者と参加者が正しいメンバー一覧に表示される。</x:v>
      </x:c>
      <x:c r="F68" s="10" t="str">
        <x:v>自動実機テスト</x:v>
      </x:c>
      <x:c r="G68" s="11" t="str">
        <x:v>共通</x:v>
      </x:c>
      <x:c r="H68" s="11" t="str">
        <x:v>P1</x:v>
      </x:c>
      <x:c r="I68" s="10" t="str">
        <x:v>専用A/Bアカウント</x:v>
      </x:c>
      <x:c r="J68" s="10" t="str">
        <x:v>Aで専用グループ作成。Bが招待コードで参加する。</x:v>
      </x:c>
      <x:c r="K68" s="10" t="str">
        <x:v>同じ操作を両OSで個別に実施</x:v>
      </x:c>
      <x:c r="L68" s="29" t="str">
        <x:v>未実施</x:v>
      </x:c>
      <x:c r="M68" s="29" t="str">
        <x:v>未実施</x:v>
      </x:c>
      <x:c r="N68" s="30" t="str">
        <x:v>現行ビルドで当該手順の実施証跡なし。過去結果と参考試験は右欄。</x:v>
      </x:c>
      <x:c r="O68" s="30" t="str">
        <x:v>現行ビルドで当該手順の実施証跡なし。過去結果と参考試験は右欄。</x:v>
      </x:c>
      <x:c r="P68" s="30" t="str">
        <x:v>未採番：該当証跡未特定</x:v>
      </x:c>
      <x:c r="Q68" s="4" t="str">
        <x:v>実機UI操作＋読取API／端末ログ照合。専用ドライバー整備後に実施。</x:v>
      </x:c>
      <x:c r="R68" s="4" t="str">
        <x:v>評価は対象の現行ビルドだけ。旧版/検証版結果を現行OKへ繰り上げない。</x:v>
      </x:c>
      <x:c r="S68" s="4" t="str">
        <x:v>未確認</x:v>
      </x:c>
      <x:c r="T68" s="4" t="str">
        <x:v>未確認</x:v>
      </x:c>
      <x:c r="U68" s="4" t="str">
        <x:v>該当する過去の実機証跡を今回特定できず。未実施と断定せず未確認。</x:v>
      </x:c>
      <x:c r="V68" s="4" t="str">
        <x:v>該当する過去の実機証跡を今回特定できず。未実施と断定せず未確認。</x:v>
      </x:c>
      <x:c r="W68" s="4" t="str">
        <x:v>変更/障害時に追試</x:v>
      </x:c>
      <x:c r="X68" s="4" t="str">
        <x:v>未確認の全件を必須にはしない。変更範囲・重大度・障害発生に応じて選択。</x:v>
      </x:c>
      <x:c r="Y68" s="4" t="str">
        <x:v>A2 次優先</x:v>
      </x:c>
      <x:c r="Z68" s="4" t="str">
        <x:v>安定した実機UIドライバーとfixtureを整備し、対象OSの評価欄へ証跡付きで記録。</x:v>
      </x:c>
    </x:row>
    <x:row r="69" ht="105" customHeight="1">
      <x:c r="A69" s="6" t="n">
        <x:v>62</x:v>
      </x:c>
      <x:c r="B69" s="4" t="str">
        <x:v>06 履歴共有・グループ権限</x:v>
      </x:c>
      <x:c r="C69" s="4" t="str">
        <x:v>権限</x:v>
      </x:c>
      <x:c r="D69" s="4" t="str">
        <x:v>参加だけでは過去履歴を公開しない</x:v>
      </x:c>
      <x:c r="E69" s="4" t="str">
        <x:v>Aが明示共有していない履歴・地点は閲覧できない。</x:v>
      </x:c>
      <x:c r="F69" s="4" t="str">
        <x:v>自動実機テスト</x:v>
      </x:c>
      <x:c r="G69" s="7" t="str">
        <x:v>共通</x:v>
      </x:c>
      <x:c r="H69" s="7" t="str">
        <x:v>P0</x:v>
      </x:c>
      <x:c r="I69" s="4" t="str">
        <x:v>標準環境S1</x:v>
      </x:c>
      <x:c r="J69" s="4" t="str">
        <x:v>グループ参加直後にBでAの過去履歴・地図・APIを確認する。</x:v>
      </x:c>
      <x:c r="K69" s="4" t="str">
        <x:v>同じ操作を両OSで個別に実施</x:v>
      </x:c>
      <x:c r="L69" s="29" t="str">
        <x:v>未実施</x:v>
      </x:c>
      <x:c r="M69" s="29" t="str">
        <x:v>未実施</x:v>
      </x:c>
      <x:c r="N69" s="30" t="str">
        <x:v>現行ビルドで当該手順の実施証跡なし。過去結果と参考試験は右欄。</x:v>
      </x:c>
      <x:c r="O69" s="30" t="str">
        <x:v>現行ビルドで当該手順の実施証跡なし。過去結果と参考試験は右欄。</x:v>
      </x:c>
      <x:c r="P69" s="30" t="str">
        <x:v>E06 / E11</x:v>
      </x:c>
      <x:c r="Q69" s="4" t="str">
        <x:v>実機UI操作＋読取API／端末ログ照合。専用ドライバー整備後に実施。</x:v>
      </x:c>
      <x:c r="R69" s="4" t="str">
        <x:v>本番v2の旧新版形式API・再送・墓標・認可を14項目確認。UI操作やグループ画面全手順の合格を意味しない。 [E06,E11]</x:v>
      </x:c>
      <x:c r="S69" s="4" t="str">
        <x:v>API/ローカルのみ</x:v>
      </x:c>
      <x:c r="T69" s="4" t="str">
        <x:v>API/ローカルのみ</x:v>
      </x:c>
      <x:c r="U69" s="4" t="str">
        <x:v>該当する過去の実機証跡を今回特定できず。未実施と断定せず未確認。</x:v>
      </x:c>
      <x:c r="V69" s="4" t="str">
        <x:v>該当する過去の実機証跡を今回特定できず。未実施と断定せず未確認。</x:v>
      </x:c>
      <x:c r="W69" s="4" t="str">
        <x:v>変更/障害時に追試</x:v>
      </x:c>
      <x:c r="X69" s="4" t="str">
        <x:v>未確認の全件を必須にはしない。変更範囲・重大度・障害発生に応じて選択。</x:v>
      </x:c>
      <x:c r="Y69" s="4" t="str">
        <x:v>A1 最優先</x:v>
      </x:c>
      <x:c r="Z69" s="4" t="str">
        <x:v>記録側・閲覧側・非共有側の実機UI＋読取API。権限・時刻・非表示を検査し録画を残す。</x:v>
      </x:c>
    </x:row>
    <x:row r="70" ht="105" customHeight="1">
      <x:c r="A70" s="6" t="n">
        <x:v>63</x:v>
      </x:c>
      <x:c r="B70" s="4" t="str">
        <x:v>06 履歴共有・グループ権限</x:v>
      </x:c>
      <x:c r="C70" s="4" t="str">
        <x:v>履歴共有</x:v>
      </x:c>
      <x:c r="D70" s="4" t="str">
        <x:v>特定記録の特定ユーザーへ共有</x:v>
      </x:c>
      <x:c r="E70" s="4" t="str">
        <x:v>Bだけ対象1件を閲覧でき、他記録とCには公開されない。</x:v>
      </x:c>
      <x:c r="F70" s="4" t="str">
        <x:v>自動実機テスト</x:v>
      </x:c>
      <x:c r="G70" s="7" t="str">
        <x:v>共通</x:v>
      </x:c>
      <x:c r="H70" s="7" t="str">
        <x:v>P0</x:v>
      </x:c>
      <x:c r="I70" s="4" t="str">
        <x:v>標準環境S1</x:v>
      </x:c>
      <x:c r="J70" s="4" t="str">
        <x:v>Aが1件だけBへ共有し、Bと非共有Cで履歴・地図を確認。</x:v>
      </x:c>
      <x:c r="K70" s="4" t="str">
        <x:v>同じ操作を両OSで個別に実施</x:v>
      </x:c>
      <x:c r="L70" s="29" t="str">
        <x:v>未実施</x:v>
      </x:c>
      <x:c r="M70" s="29" t="str">
        <x:v>未実施</x:v>
      </x:c>
      <x:c r="N70" s="30" t="str">
        <x:v>現行ビルドで当該手順の実施証跡なし。過去結果と参考試験は右欄。</x:v>
      </x:c>
      <x:c r="O70" s="30" t="str">
        <x:v>現行ビルドで当該手順の実施証跡なし。過去結果と参考試験は右欄。</x:v>
      </x:c>
      <x:c r="P70" s="30" t="str">
        <x:v>E15</x:v>
      </x:c>
      <x:c r="Q70" s="4" t="str">
        <x:v>実機UI操作＋読取API／端末ログ照合。専用ドライバー整備後に実施。</x:v>
      </x:c>
      <x:c r="R70" s="4" t="str">
        <x:v>評価は対象の現行ビルドだけ。旧版/検証版結果を現行OKへ繰り上げない。</x:v>
      </x:c>
      <x:c r="S70" s="4" t="str">
        <x:v>未確認</x:v>
      </x:c>
      <x:c r="T70" s="4" t="str">
        <x:v>旧版/検証版のみ</x:v>
      </x:c>
      <x:c r="U70" s="4" t="str">
        <x:v>該当する過去の実機証跡を今回特定できず。未実施と断定せず未確認。</x:v>
      </x:c>
      <x:c r="V70" s="4" t="str">
        <x:v>2026-10-18：履歴共有・解除・再共有と24地点の地図表示／認可を確認。ビルド番号未特定の通常/開発版、現行27へ合格転記しない。 [E15]</x:v>
      </x:c>
      <x:c r="W70" s="4" t="str">
        <x:v>変更/障害時に追試</x:v>
      </x:c>
      <x:c r="X70" s="4" t="str">
        <x:v>未確認の全件を必須にはしない。変更範囲・重大度・障害発生に応じて選択。</x:v>
      </x:c>
      <x:c r="Y70" s="4" t="str">
        <x:v>A2 次優先</x:v>
      </x:c>
      <x:c r="Z70" s="4" t="str">
        <x:v>安定した実機UIドライバーとfixtureを整備し、対象OSの評価欄へ証跡付きで記録。</x:v>
      </x:c>
    </x:row>
    <x:row r="71" ht="105" customHeight="1">
      <x:c r="A71" s="6" t="n">
        <x:v>64</x:v>
      </x:c>
      <x:c r="B71" s="4" t="str">
        <x:v>06 履歴共有・グループ権限</x:v>
      </x:c>
      <x:c r="C71" s="4" t="str">
        <x:v>解除</x:v>
      </x:c>
      <x:c r="D71" s="4" t="str">
        <x:v>単一の共有経路を解除</x:v>
      </x:c>
      <x:c r="E71" s="4" t="str">
        <x:v>履歴・地図・地点APIが拒否され、キャッシュからも表示し続けない。</x:v>
      </x:c>
      <x:c r="F71" s="4" t="str">
        <x:v>自動実機テスト</x:v>
      </x:c>
      <x:c r="G71" s="7" t="str">
        <x:v>共通</x:v>
      </x:c>
      <x:c r="H71" s="7" t="str">
        <x:v>P0</x:v>
      </x:c>
      <x:c r="I71" s="4" t="str">
        <x:v>標準環境S1</x:v>
      </x:c>
      <x:c r="J71" s="4" t="str">
        <x:v>AがBへの唯一の履歴共有を解除し、Bで再取得する。</x:v>
      </x:c>
      <x:c r="K71" s="4" t="str">
        <x:v>同じ操作を両OSで個別に実施</x:v>
      </x:c>
      <x:c r="L71" s="29" t="str">
        <x:v>未実施</x:v>
      </x:c>
      <x:c r="M71" s="29" t="str">
        <x:v>未実施</x:v>
      </x:c>
      <x:c r="N71" s="30" t="str">
        <x:v>現行ビルドで当該手順の実施証跡なし。過去結果と参考試験は右欄。</x:v>
      </x:c>
      <x:c r="O71" s="30" t="str">
        <x:v>現行ビルドで当該手順の実施証跡なし。過去結果と参考試験は右欄。</x:v>
      </x:c>
      <x:c r="P71" s="30" t="str">
        <x:v>E06 / E11 / E15</x:v>
      </x:c>
      <x:c r="Q71" s="4" t="str">
        <x:v>実機UI操作＋読取API／端末ログ照合。専用ドライバー整備後に実施。</x:v>
      </x:c>
      <x:c r="R71" s="4" t="str">
        <x:v>本番v2の旧新版形式API・再送・墓標・認可を14項目確認。UI操作やグループ画面全手順の合格を意味しない。 [E06,E11]</x:v>
      </x:c>
      <x:c r="S71" s="4" t="str">
        <x:v>API/ローカルのみ</x:v>
      </x:c>
      <x:c r="T71" s="4" t="str">
        <x:v>旧版/検証版のみ</x:v>
      </x:c>
      <x:c r="U71" s="4" t="str">
        <x:v>該当する過去の実機証跡を今回特定できず。未実施と断定せず未確認。</x:v>
      </x:c>
      <x:c r="V71" s="4" t="str">
        <x:v>2026-10-18：履歴共有・解除・再共有と24地点の地図表示／認可を確認。ビルド番号未特定の通常/開発版、現行27へ合格転記しない。 [E15]</x:v>
      </x:c>
      <x:c r="W71" s="4" t="str">
        <x:v>変更/障害時に追試</x:v>
      </x:c>
      <x:c r="X71" s="4" t="str">
        <x:v>未確認の全件を必須にはしない。変更範囲・重大度・障害発生に応じて選択。</x:v>
      </x:c>
      <x:c r="Y71" s="4" t="str">
        <x:v>A1 最優先</x:v>
      </x:c>
      <x:c r="Z71" s="4" t="str">
        <x:v>記録側・閲覧側・非共有側の実機UI＋読取API。権限・時刻・非表示を検査し録画を残す。</x:v>
      </x:c>
    </x:row>
    <x:row r="72" ht="105" customHeight="1">
      <x:c r="A72" s="6" t="n">
        <x:v>65</x:v>
      </x:c>
      <x:c r="B72" s="4" t="str">
        <x:v>06 履歴共有・グループ権限</x:v>
      </x:c>
      <x:c r="C72" s="4" t="str">
        <x:v>複数経路</x:v>
      </x:c>
      <x:c r="D72" s="4" t="str">
        <x:v>一方の共有グループだけを解除</x:v>
      </x:c>
      <x:c r="E72" s="4" t="str">
        <x:v>G2の有効な権限がある間は閲覧可。最終経路解除でのみ閲覧不可になる。</x:v>
      </x:c>
      <x:c r="F72" s="4" t="str">
        <x:v>自動実機テスト</x:v>
      </x:c>
      <x:c r="G72" s="7" t="str">
        <x:v>共通</x:v>
      </x:c>
      <x:c r="H72" s="7" t="str">
        <x:v>P0</x:v>
      </x:c>
      <x:c r="I72" s="4" t="str">
        <x:v>S2＋2グループfixture</x:v>
      </x:c>
      <x:c r="J72" s="4" t="str">
        <x:v>BへG1/G2両方で同じ記録を共有。G1だけ解除する。</x:v>
      </x:c>
      <x:c r="K72" s="4" t="str">
        <x:v>同じ操作を両OSで個別に実施</x:v>
      </x:c>
      <x:c r="L72" s="29" t="str">
        <x:v>未実施</x:v>
      </x:c>
      <x:c r="M72" s="29" t="str">
        <x:v>未実施</x:v>
      </x:c>
      <x:c r="N72" s="30" t="str">
        <x:v>現行ビルドで当該手順の実施証跡なし。過去結果と参考試験は右欄。</x:v>
      </x:c>
      <x:c r="O72" s="30" t="str">
        <x:v>現行ビルドで当該手順の実施証跡なし。過去結果と参考試験は右欄。</x:v>
      </x:c>
      <x:c r="P72" s="30" t="str">
        <x:v>E06 / E11</x:v>
      </x:c>
      <x:c r="Q72" s="4" t="str">
        <x:v>実機UI操作＋読取API／端末ログ照合。専用ドライバー整備後に実施。</x:v>
      </x:c>
      <x:c r="R72" s="4" t="str">
        <x:v>本番v2の旧新版形式API・再送・墓標・認可を14項目確認。UI操作やグループ画面全手順の合格を意味しない。 [E06,E11]</x:v>
      </x:c>
      <x:c r="S72" s="4" t="str">
        <x:v>API/ローカルのみ</x:v>
      </x:c>
      <x:c r="T72" s="4" t="str">
        <x:v>API/ローカルのみ</x:v>
      </x:c>
      <x:c r="U72" s="4" t="str">
        <x:v>該当する過去の実機証跡を今回特定できず。未実施と断定せず未確認。</x:v>
      </x:c>
      <x:c r="V72" s="4" t="str">
        <x:v>該当する過去の実機証跡を今回特定できず。未実施と断定せず未確認。</x:v>
      </x:c>
      <x:c r="W72" s="4" t="str">
        <x:v>変更/障害時に追試</x:v>
      </x:c>
      <x:c r="X72" s="4" t="str">
        <x:v>未確認の全件を必須にはしない。変更範囲・重大度・障害発生に応じて選択。</x:v>
      </x:c>
      <x:c r="Y72" s="4" t="str">
        <x:v>A1 最優先</x:v>
      </x:c>
      <x:c r="Z72" s="4" t="str">
        <x:v>記録側・閲覧側・非共有側の実機UI＋読取API。権限・時刻・非表示を検査し録画を残す。</x:v>
      </x:c>
    </x:row>
    <x:row r="73" ht="105" customHeight="1">
      <x:c r="A73" s="6" t="n">
        <x:v>66</x:v>
      </x:c>
      <x:c r="B73" s="4" t="str">
        <x:v>06 履歴共有・グループ権限</x:v>
      </x:c>
      <x:c r="C73" s="4" t="str">
        <x:v>退出</x:v>
      </x:c>
      <x:c r="D73" s="4" t="str">
        <x:v>参加者がグループ退出</x:v>
      </x:c>
      <x:c r="E73" s="4" t="str">
        <x:v>G1に基づく過去・現在の権限が失効し、他の有効経路は保持する。</x:v>
      </x:c>
      <x:c r="F73" s="4" t="str">
        <x:v>手動実機テスト</x:v>
      </x:c>
      <x:c r="G73" s="7" t="str">
        <x:v>共通</x:v>
      </x:c>
      <x:c r="H73" s="7" t="str">
        <x:v>P0</x:v>
      </x:c>
      <x:c r="I73" s="4" t="str">
        <x:v>専用グループ</x:v>
      </x:c>
      <x:c r="J73" s="4" t="str">
        <x:v>G1だけを根拠に共有されたBが退出する。</x:v>
      </x:c>
      <x:c r="K73" s="4" t="str">
        <x:v>同じ操作を両OSで個別に実施</x:v>
      </x:c>
      <x:c r="L73" s="29" t="str">
        <x:v>未実施</x:v>
      </x:c>
      <x:c r="M73" s="29" t="str">
        <x:v>未実施</x:v>
      </x:c>
      <x:c r="N73" s="30" t="str">
        <x:v>現行ビルドで当該手順の実施証跡なし。過去結果と参考試験は右欄。</x:v>
      </x:c>
      <x:c r="O73" s="30" t="str">
        <x:v>現行ビルドで当該手順の実施証跡なし。過去結果と参考試験は右欄。</x:v>
      </x:c>
      <x:c r="P73" s="30" t="str">
        <x:v>E06 / E11</x:v>
      </x:c>
      <x:c r="Q73" s="4" t="str">
        <x:v>画面観察・録画＋操作時刻・端末ログ／読取APIを照合。</x:v>
      </x:c>
      <x:c r="R73" s="4" t="str">
        <x:v>本番v2の旧新版形式API・再送・墓標・認可を14項目確認。UI操作やグループ画面全手順の合格を意味しない。 [E06,E11]</x:v>
      </x:c>
      <x:c r="S73" s="4" t="str">
        <x:v>API/ローカルのみ</x:v>
      </x:c>
      <x:c r="T73" s="4" t="str">
        <x:v>API/ローカルのみ</x:v>
      </x:c>
      <x:c r="U73" s="4" t="str">
        <x:v>該当する過去の実機証跡を今回特定できず。未実施と断定せず未確認。</x:v>
      </x:c>
      <x:c r="V73" s="4" t="str">
        <x:v>該当する過去の実機証跡を今回特定できず。未実施と断定せず未確認。</x:v>
      </x:c>
      <x:c r="W73" s="4" t="str">
        <x:v>変更/障害時に追試</x:v>
      </x:c>
      <x:c r="X73" s="4" t="str">
        <x:v>未確認の全件を必須にはしない。変更範囲・重大度・障害発生に応じて選択。</x:v>
      </x:c>
      <x:c r="Y73" s="4" t="str">
        <x:v>A1 最優先</x:v>
      </x:c>
      <x:c r="Z73" s="4" t="str">
        <x:v>記録側・閲覧側・非共有側の実機UI＋読取API。権限・時刻・非表示を検査し録画を残す。</x:v>
      </x:c>
    </x:row>
    <x:row r="74" ht="105" customHeight="1">
      <x:c r="A74" s="6" t="n">
        <x:v>67</x:v>
      </x:c>
      <x:c r="B74" s="4" t="str">
        <x:v>06 履歴共有・グループ権限</x:v>
      </x:c>
      <x:c r="C74" s="4" t="str">
        <x:v>除外</x:v>
      </x:c>
      <x:c r="D74" s="4" t="str">
        <x:v>オーナーがメンバー除外</x:v>
      </x:c>
      <x:c r="E74" s="4" t="str">
        <x:v>除外に対応する権限が失効する。Aの所有データは消えない。</x:v>
      </x:c>
      <x:c r="F74" s="4" t="str">
        <x:v>手動実機テスト</x:v>
      </x:c>
      <x:c r="G74" s="7" t="str">
        <x:v>共通</x:v>
      </x:c>
      <x:c r="H74" s="7" t="str">
        <x:v>P0</x:v>
      </x:c>
      <x:c r="I74" s="4" t="str">
        <x:v>専用グループ</x:v>
      </x:c>
      <x:c r="J74" s="4" t="str">
        <x:v>AがG1からBを除外し、Bで履歴・現在地を再取得。</x:v>
      </x:c>
      <x:c r="K74" s="4" t="str">
        <x:v>同じ操作を両OSで個別に実施</x:v>
      </x:c>
      <x:c r="L74" s="29" t="str">
        <x:v>未実施</x:v>
      </x:c>
      <x:c r="M74" s="29" t="str">
        <x:v>未実施</x:v>
      </x:c>
      <x:c r="N74" s="30" t="str">
        <x:v>現行ビルドで当該手順の実施証跡なし。過去結果と参考試験は右欄。</x:v>
      </x:c>
      <x:c r="O74" s="30" t="str">
        <x:v>現行ビルドで当該手順の実施証跡なし。過去結果と参考試験は右欄。</x:v>
      </x:c>
      <x:c r="P74" s="30" t="str">
        <x:v>E06 / E11</x:v>
      </x:c>
      <x:c r="Q74" s="4" t="str">
        <x:v>画面観察・録画＋操作時刻・端末ログ／読取APIを照合。</x:v>
      </x:c>
      <x:c r="R74" s="4" t="str">
        <x:v>本番v2の旧新版形式API・再送・墓標・認可を14項目確認。UI操作やグループ画面全手順の合格を意味しない。 [E06,E11]</x:v>
      </x:c>
      <x:c r="S74" s="4" t="str">
        <x:v>API/ローカルのみ</x:v>
      </x:c>
      <x:c r="T74" s="4" t="str">
        <x:v>API/ローカルのみ</x:v>
      </x:c>
      <x:c r="U74" s="4" t="str">
        <x:v>該当する過去の実機証跡を今回特定できず。未実施と断定せず未確認。</x:v>
      </x:c>
      <x:c r="V74" s="4" t="str">
        <x:v>該当する過去の実機証跡を今回特定できず。未実施と断定せず未確認。</x:v>
      </x:c>
      <x:c r="W74" s="4" t="str">
        <x:v>変更/障害時に追試</x:v>
      </x:c>
      <x:c r="X74" s="4" t="str">
        <x:v>未確認の全件を必須にはしない。変更範囲・重大度・障害発生に応じて選択。</x:v>
      </x:c>
      <x:c r="Y74" s="4" t="str">
        <x:v>A1 最優先</x:v>
      </x:c>
      <x:c r="Z74" s="4" t="str">
        <x:v>記録側・閲覧側・非共有側の実機UI＋読取API。権限・時刻・非表示を検査し録画を残す。</x:v>
      </x:c>
    </x:row>
    <x:row r="75" ht="105" customHeight="1">
      <x:c r="A75" s="6" t="n">
        <x:v>68</x:v>
      </x:c>
      <x:c r="B75" s="4" t="str">
        <x:v>06 履歴共有・グループ権限</x:v>
      </x:c>
      <x:c r="C75" s="4" t="str">
        <x:v>削除</x:v>
      </x:c>
      <x:c r="D75" s="4" t="str">
        <x:v>専用グループ削除</x:v>
      </x:c>
      <x:c r="E75" s="4" t="str">
        <x:v>グループ由来の権限が失効し、記録所有者の原記録は保持される。</x:v>
      </x:c>
      <x:c r="F75" s="4" t="str">
        <x:v>手動実機テスト</x:v>
      </x:c>
      <x:c r="G75" s="7" t="str">
        <x:v>共通</x:v>
      </x:c>
      <x:c r="H75" s="7" t="str">
        <x:v>P1</x:v>
      </x:c>
      <x:c r="I75" s="4" t="str">
        <x:v>削除可能な専用グループ</x:v>
      </x:c>
      <x:c r="J75" s="4" t="str">
        <x:v>専用G1を削除し、メンバーの閲覧状態を確認。</x:v>
      </x:c>
      <x:c r="K75" s="4" t="str">
        <x:v>同じ操作を両OSで個別に実施</x:v>
      </x:c>
      <x:c r="L75" s="29" t="str">
        <x:v>未実施</x:v>
      </x:c>
      <x:c r="M75" s="29" t="str">
        <x:v>未実施</x:v>
      </x:c>
      <x:c r="N75" s="30" t="str">
        <x:v>現行ビルドで当該手順の実施証跡なし。過去結果と参考試験は右欄。</x:v>
      </x:c>
      <x:c r="O75" s="30" t="str">
        <x:v>現行ビルドで当該手順の実施証跡なし。過去結果と参考試験は右欄。</x:v>
      </x:c>
      <x:c r="P75" s="30" t="str">
        <x:v>E06 / E11</x:v>
      </x:c>
      <x:c r="Q75" s="4" t="str">
        <x:v>画面観察・録画＋操作時刻・端末ログ／読取APIを照合。</x:v>
      </x:c>
      <x:c r="R75" s="4" t="str">
        <x:v>本番v2の旧新版形式API・再送・墓標・認可を14項目確認。UI操作やグループ画面全手順の合格を意味しない。 [E06,E11]</x:v>
      </x:c>
      <x:c r="S75" s="4" t="str">
        <x:v>API/ローカルのみ</x:v>
      </x:c>
      <x:c r="T75" s="4" t="str">
        <x:v>API/ローカルのみ</x:v>
      </x:c>
      <x:c r="U75" s="4" t="str">
        <x:v>該当する過去の実機証跡を今回特定できず。未実施と断定せず未確認。</x:v>
      </x:c>
      <x:c r="V75" s="4" t="str">
        <x:v>該当する過去の実機証跡を今回特定できず。未実施と断定せず未確認。</x:v>
      </x:c>
      <x:c r="W75" s="4" t="str">
        <x:v>変更/障害時に追試</x:v>
      </x:c>
      <x:c r="X75" s="4" t="str">
        <x:v>未確認の全件を必須にはしない。変更範囲・重大度・障害発生に応じて選択。</x:v>
      </x:c>
      <x:c r="Y75" s="4" t="str">
        <x:v>A1 最優先</x:v>
      </x:c>
      <x:c r="Z75" s="4" t="str">
        <x:v>記録側・閲覧側・非共有側の実機UI＋読取API。権限・時刻・非表示を検査し録画を残す。</x:v>
      </x:c>
    </x:row>
    <x:row r="76" ht="105" customHeight="1">
      <x:c r="A76" s="6" t="n">
        <x:v>69</x:v>
      </x:c>
      <x:c r="B76" s="4" t="str">
        <x:v>06 履歴共有・グループ権限</x:v>
      </x:c>
      <x:c r="C76" s="4" t="str">
        <x:v>認可</x:v>
      </x:c>
      <x:c r="D76" s="4" t="str">
        <x:v>非所有者の更新・削除を拒否</x:v>
      </x:c>
      <x:c r="E76" s="4" t="str">
        <x:v>所有者専用操作を拒否し、データ・集計が変わらない。</x:v>
      </x:c>
      <x:c r="F76" s="4" t="str">
        <x:v>自動実機テスト</x:v>
      </x:c>
      <x:c r="G76" s="7" t="str">
        <x:v>共通</x:v>
      </x:c>
      <x:c r="H76" s="7" t="str">
        <x:v>P0</x:v>
      </x:c>
      <x:c r="I76" s="4" t="str">
        <x:v>S2＋認可検査ドライバー</x:v>
      </x:c>
      <x:c r="J76" s="4" t="str">
        <x:v>Bが共有されたAの記録の変更・削除APIを専用環境で呼ぶ。</x:v>
      </x:c>
      <x:c r="K76" s="4" t="str">
        <x:v>同じ操作を両OSで個別に実施</x:v>
      </x:c>
      <x:c r="L76" s="29" t="str">
        <x:v>未実施</x:v>
      </x:c>
      <x:c r="M76" s="29" t="str">
        <x:v>未実施</x:v>
      </x:c>
      <x:c r="N76" s="30" t="str">
        <x:v>現行ビルドで当該手順の実施証跡なし。過去結果と参考試験は右欄。</x:v>
      </x:c>
      <x:c r="O76" s="30" t="str">
        <x:v>現行ビルドで当該手順の実施証跡なし。過去結果と参考試験は右欄。</x:v>
      </x:c>
      <x:c r="P76" s="30" t="str">
        <x:v>E06 / E11</x:v>
      </x:c>
      <x:c r="Q76" s="4" t="str">
        <x:v>実機UI操作＋読取API／端末ログ照合。専用ドライバー整備後に実施。</x:v>
      </x:c>
      <x:c r="R76" s="4" t="str">
        <x:v>本番v2の旧新版形式API・再送・墓標・認可を14項目確認。UI操作やグループ画面全手順の合格を意味しない。 [E06,E11]</x:v>
      </x:c>
      <x:c r="S76" s="4" t="str">
        <x:v>API/ローカルのみ</x:v>
      </x:c>
      <x:c r="T76" s="4" t="str">
        <x:v>API/ローカルのみ</x:v>
      </x:c>
      <x:c r="U76" s="4" t="str">
        <x:v>該当する過去の実機証跡を今回特定できず。未実施と断定せず未確認。</x:v>
      </x:c>
      <x:c r="V76" s="4" t="str">
        <x:v>該当する過去の実機証跡を今回特定できず。未実施と断定せず未確認。</x:v>
      </x:c>
      <x:c r="W76" s="4" t="str">
        <x:v>変更/障害時に追試</x:v>
      </x:c>
      <x:c r="X76" s="4" t="str">
        <x:v>未確認の全件を必須にはしない。変更範囲・重大度・障害発生に応じて選択。</x:v>
      </x:c>
      <x:c r="Y76" s="4" t="str">
        <x:v>A1 最優先</x:v>
      </x:c>
      <x:c r="Z76" s="4" t="str">
        <x:v>記録側・閲覧側・非共有側の実機UI＋読取API。権限・時刻・非表示を検査し録画を残す。</x:v>
      </x:c>
    </x:row>
    <x:row r="77" ht="105" customHeight="1">
      <x:c r="A77" s="6" t="n">
        <x:v>70</x:v>
      </x:c>
      <x:c r="B77" s="4" t="str">
        <x:v>06 履歴共有・グループ権限</x:v>
      </x:c>
      <x:c r="C77" s="4" t="str">
        <x:v>復旧</x:v>
      </x:c>
      <x:c r="D77" s="4" t="str">
        <x:v>共有・解除中の通信失敗</x:v>
      </x:c>
      <x:c r="E77" s="4" t="str">
        <x:v>失敗を共有先0件と誤認せず、権限を再取得して実状態へ収束する。</x:v>
      </x:c>
      <x:c r="F77" s="4" t="str">
        <x:v>自動実機テスト</x:v>
      </x:c>
      <x:c r="G77" s="7" t="str">
        <x:v>共通</x:v>
      </x:c>
      <x:c r="H77" s="7" t="str">
        <x:v>P0</x:v>
      </x:c>
      <x:c r="I77" s="4" t="str">
        <x:v>S2＋隔離環境の応答障害注入</x:v>
      </x:c>
      <x:c r="J77" s="4" t="str">
        <x:v>共有または解除の応答を失い、再取得・再試行する。</x:v>
      </x:c>
      <x:c r="K77" s="4" t="str">
        <x:v>同じ操作を両OSで個別に実施</x:v>
      </x:c>
      <x:c r="L77" s="29" t="str">
        <x:v>未実施</x:v>
      </x:c>
      <x:c r="M77" s="29" t="str">
        <x:v>未実施</x:v>
      </x:c>
      <x:c r="N77" s="30" t="str">
        <x:v>現行ビルドで当該手順の実施証跡なし。過去結果と参考試験は右欄。</x:v>
      </x:c>
      <x:c r="O77" s="30" t="str">
        <x:v>現行ビルドで当該手順の実施証跡なし。過去結果と参考試験は右欄。</x:v>
      </x:c>
      <x:c r="P77" s="30" t="str">
        <x:v>E06 / E11</x:v>
      </x:c>
      <x:c r="Q77" s="4" t="str">
        <x:v>実機UI操作＋読取API／端末ログ照合。専用ドライバー整備後に実施。</x:v>
      </x:c>
      <x:c r="R77" s="4" t="str">
        <x:v>本番v2の旧新版形式API・再送・墓標・認可を14項目確認。UI操作やグループ画面全手順の合格を意味しない。 [E06,E11]</x:v>
      </x:c>
      <x:c r="S77" s="4" t="str">
        <x:v>API/ローカルのみ</x:v>
      </x:c>
      <x:c r="T77" s="4" t="str">
        <x:v>API/ローカルのみ</x:v>
      </x:c>
      <x:c r="U77" s="4" t="str">
        <x:v>該当する過去の実機証跡を今回特定できず。未実施と断定せず未確認。</x:v>
      </x:c>
      <x:c r="V77" s="4" t="str">
        <x:v>該当する過去の実機証跡を今回特定できず。未実施と断定せず未確認。</x:v>
      </x:c>
      <x:c r="W77" s="4" t="str">
        <x:v>変更/障害時に追試</x:v>
      </x:c>
      <x:c r="X77" s="4" t="str">
        <x:v>未確認の全件を必須にはしない。変更範囲・重大度・障害発生に応じて選択。</x:v>
      </x:c>
      <x:c r="Y77" s="4" t="str">
        <x:v>A1 最優先</x:v>
      </x:c>
      <x:c r="Z77" s="4" t="str">
        <x:v>記録側・閲覧側・非共有側の実機UI＋読取API。権限・時刻・非表示を検査し録画を残す。</x:v>
      </x:c>
    </x:row>
    <x:row r="78" ht="105" customHeight="1">
      <x:c r="A78" s="6" t="n">
        <x:v>71</x:v>
      </x:c>
      <x:c r="B78" s="4" t="str">
        <x:v>06 履歴共有・グループ権限</x:v>
      </x:c>
      <x:c r="C78" s="4" t="str">
        <x:v>コード</x:v>
      </x:c>
      <x:c r="D78" s="4" t="str">
        <x:v>招待コード再発行</x:v>
      </x:c>
      <x:c r="E78" s="4" t="str">
        <x:v>旧コードで参加できず、新コードのみ有効。</x:v>
      </x:c>
      <x:c r="F78" s="4" t="str">
        <x:v>自動実機テスト</x:v>
      </x:c>
      <x:c r="G78" s="7" t="str">
        <x:v>共通</x:v>
      </x:c>
      <x:c r="H78" s="7" t="str">
        <x:v>P1</x:v>
      </x:c>
      <x:c r="I78" s="4" t="str">
        <x:v>専用グループ・未参加C</x:v>
      </x:c>
      <x:c r="J78" s="4" t="str">
        <x:v>コードを再発行し、古いコードと新コードで参加を試す。</x:v>
      </x:c>
      <x:c r="K78" s="4" t="str">
        <x:v>同じ操作を両OSで個別に実施</x:v>
      </x:c>
      <x:c r="L78" s="29" t="str">
        <x:v>未実施</x:v>
      </x:c>
      <x:c r="M78" s="29" t="str">
        <x:v>未実施</x:v>
      </x:c>
      <x:c r="N78" s="30" t="str">
        <x:v>現行ビルドで当該手順の実施証跡なし。過去結果と参考試験は右欄。</x:v>
      </x:c>
      <x:c r="O78" s="30" t="str">
        <x:v>現行ビルドで当該手順の実施証跡なし。過去結果と参考試験は右欄。</x:v>
      </x:c>
      <x:c r="P78" s="30" t="str">
        <x:v>未採番：該当証跡未特定</x:v>
      </x:c>
      <x:c r="Q78" s="4" t="str">
        <x:v>実機UI操作＋読取API／端末ログ照合。専用ドライバー整備後に実施。</x:v>
      </x:c>
      <x:c r="R78" s="4" t="str">
        <x:v>評価は対象の現行ビルドだけ。旧版/検証版結果を現行OKへ繰り上げない。</x:v>
      </x:c>
      <x:c r="S78" s="4" t="str">
        <x:v>未確認</x:v>
      </x:c>
      <x:c r="T78" s="4" t="str">
        <x:v>未確認</x:v>
      </x:c>
      <x:c r="U78" s="4" t="str">
        <x:v>該当する過去の実機証跡を今回特定できず。未実施と断定せず未確認。</x:v>
      </x:c>
      <x:c r="V78" s="4" t="str">
        <x:v>該当する過去の実機証跡を今回特定できず。未実施と断定せず未確認。</x:v>
      </x:c>
      <x:c r="W78" s="4" t="str">
        <x:v>変更/障害時に追試</x:v>
      </x:c>
      <x:c r="X78" s="4" t="str">
        <x:v>未確認の全件を必須にはしない。変更範囲・重大度・障害発生に応じて選択。</x:v>
      </x:c>
      <x:c r="Y78" s="4" t="str">
        <x:v>A2 次優先</x:v>
      </x:c>
      <x:c r="Z78" s="4" t="str">
        <x:v>安定した実機UIドライバーとfixtureを整備し、対象OSの評価欄へ証跡付きで記録。</x:v>
      </x:c>
    </x:row>
    <x:row r="79" ht="105" customHeight="1">
      <x:c r="A79" s="9" t="n">
        <x:v>72</x:v>
      </x:c>
      <x:c r="B79" s="10" t="str">
        <x:v>07 カレンダー・分析・ランキング</x:v>
      </x:c>
      <x:c r="C79" s="10" t="str">
        <x:v>カレンダー</x:v>
      </x:c>
      <x:c r="D79" s="10" t="str">
        <x:v>自分の記録だけ表示</x:v>
      </x:c>
      <x:c r="E79" s="10" t="str">
        <x:v>Bの所有記録のみ表示し、Aの共有記録を混入させない。</x:v>
      </x:c>
      <x:c r="F79" s="10" t="str">
        <x:v>自動実機テスト</x:v>
      </x:c>
      <x:c r="G79" s="11" t="str">
        <x:v>共通</x:v>
      </x:c>
      <x:c r="H79" s="11" t="str">
        <x:v>P0</x:v>
      </x:c>
      <x:c r="I79" s="10" t="str">
        <x:v>標準環境S1</x:v>
      </x:c>
      <x:c r="J79" s="10" t="str">
        <x:v>BがAの共有履歴を閲覧できる状態でBのカレンダーを開く。</x:v>
      </x:c>
      <x:c r="K79" s="10" t="str">
        <x:v>同じ操作を両OSで個別に実施</x:v>
      </x:c>
      <x:c r="L79" s="29" t="str">
        <x:v>未実施</x:v>
      </x:c>
      <x:c r="M79" s="29" t="str">
        <x:v>未実施</x:v>
      </x:c>
      <x:c r="N79" s="30" t="str">
        <x:v>現行ビルドで当該手順の実施証跡なし。過去結果と参考試験は右欄。</x:v>
      </x:c>
      <x:c r="O79" s="30" t="str">
        <x:v>現行ビルドで当該手順の実施証跡なし。過去結果と参考試験は右欄。</x:v>
      </x:c>
      <x:c r="P79" s="30" t="str">
        <x:v>未採番：該当証跡未特定</x:v>
      </x:c>
      <x:c r="Q79" s="4" t="str">
        <x:v>実機UI操作＋読取API／端末ログ照合。専用ドライバー整備後に実施。</x:v>
      </x:c>
      <x:c r="R79" s="4" t="str">
        <x:v>評価は対象の現行ビルドだけ。旧版/検証版結果を現行OKへ繰り上げない。</x:v>
      </x:c>
      <x:c r="S79" s="4" t="str">
        <x:v>未確認</x:v>
      </x:c>
      <x:c r="T79" s="4" t="str">
        <x:v>未確認</x:v>
      </x:c>
      <x:c r="U79" s="4" t="str">
        <x:v>該当する過去の実機証跡を今回特定できず。未実施と断定せず未確認。</x:v>
      </x:c>
      <x:c r="V79" s="4" t="str">
        <x:v>該当する過去の実機証跡を今回特定できず。未実施と断定せず未確認。</x:v>
      </x:c>
      <x:c r="W79" s="4" t="str">
        <x:v>変更/障害時に追試</x:v>
      </x:c>
      <x:c r="X79" s="4" t="str">
        <x:v>未確認の全件を必須にはしない。変更範囲・重大度・障害発生に応じて選択。</x:v>
      </x:c>
      <x:c r="Y79" s="4" t="str">
        <x:v>A2 次優先</x:v>
      </x:c>
      <x:c r="Z79" s="4" t="str">
        <x:v>安定した実機UIドライバーとfixtureを整備し、対象OSの評価欄へ証跡付きで記録。</x:v>
      </x:c>
    </x:row>
    <x:row r="80" ht="105" customHeight="1">
      <x:c r="A80" s="6" t="n">
        <x:v>73</x:v>
      </x:c>
      <x:c r="B80" s="4" t="str">
        <x:v>07 カレンダー・分析・ランキング</x:v>
      </x:c>
      <x:c r="C80" s="4" t="str">
        <x:v>カレンダー</x:v>
      </x:c>
      <x:c r="D80" s="4" t="str">
        <x:v>月切替と日付選択</x:v>
      </x:c>
      <x:c r="E80" s="4" t="str">
        <x:v>該当日の正しい件数を表示し、記録を選ぶと対応する地図が開く。</x:v>
      </x:c>
      <x:c r="F80" s="4" t="str">
        <x:v>自動実機テスト</x:v>
      </x:c>
      <x:c r="G80" s="7" t="str">
        <x:v>共通</x:v>
      </x:c>
      <x:c r="H80" s="7" t="str">
        <x:v>P1</x:v>
      </x:c>
      <x:c r="I80" s="4" t="str">
        <x:v>標準環境S1</x:v>
      </x:c>
      <x:c r="J80" s="4" t="str">
        <x:v>前月・翌月・今月を切替し、記録あり／なしの日を選ぶ。</x:v>
      </x:c>
      <x:c r="K80" s="4" t="str">
        <x:v>同じ操作を両OSで個別に実施</x:v>
      </x:c>
      <x:c r="L80" s="29" t="str">
        <x:v>未実施</x:v>
      </x:c>
      <x:c r="M80" s="29" t="str">
        <x:v>未実施</x:v>
      </x:c>
      <x:c r="N80" s="30" t="str">
        <x:v>現行ビルドで当該手順の実施証跡なし。過去結果と参考試験は右欄。</x:v>
      </x:c>
      <x:c r="O80" s="30" t="str">
        <x:v>現行ビルドで当該手順の実施証跡なし。過去結果と参考試験は右欄。</x:v>
      </x:c>
      <x:c r="P80" s="30" t="str">
        <x:v>E16</x:v>
      </x:c>
      <x:c r="Q80" s="4" t="str">
        <x:v>実機UI操作＋読取API／端末ログ照合。専用ドライバー整備後に実施。</x:v>
      </x:c>
      <x:c r="R80" s="4" t="str">
        <x:v>評価は対象の現行ビルドだけ。旧版/検証版結果を現行OKへ繰り上げない。</x:v>
      </x:c>
      <x:c r="S80" s="4" t="str">
        <x:v>旧版/検証版のみ</x:v>
      </x:c>
      <x:c r="T80" s="4" t="str">
        <x:v>未確認</x:v>
      </x:c>
      <x:c r="U80" s="4" t="str">
        <x:v>2026-10-18のApp Store版でカレンダーから記録地図への遷移確認。前月/翌月全パターンは未記録。 [E16]</x:v>
      </x:c>
      <x:c r="V80" s="4" t="str">
        <x:v>該当する過去の実機証跡を今回特定できず。未実施と断定せず未確認。</x:v>
      </x:c>
      <x:c r="W80" s="4" t="str">
        <x:v>通常回帰・未確認</x:v>
      </x:c>
      <x:c r="X80" s="4" t="str">
        <x:v>未確認の全件を必須にはしない。変更範囲・重大度・障害発生に応じて選択。</x:v>
      </x:c>
      <x:c r="Y80" s="4" t="str">
        <x:v>A2 次優先</x:v>
      </x:c>
      <x:c r="Z80" s="4" t="str">
        <x:v>安定した実機UIドライバーとfixtureを整備し、対象OSの評価欄へ証跡付きで記録。</x:v>
      </x:c>
    </x:row>
    <x:row r="81" ht="105" customHeight="1">
      <x:c r="A81" s="6" t="n">
        <x:v>74</x:v>
      </x:c>
      <x:c r="B81" s="4" t="str">
        <x:v>07 カレンダー・分析・ランキング</x:v>
      </x:c>
      <x:c r="C81" s="4" t="str">
        <x:v>分析</x:v>
      </x:c>
      <x:c r="D81" s="4" t="str">
        <x:v>週・月・年の合計</x:v>
      </x:c>
      <x:c r="E81" s="4" t="str">
        <x:v>一覧の元データと合計が一致し、保存・破棄分を二重加算しない。</x:v>
      </x:c>
      <x:c r="F81" s="4" t="str">
        <x:v>自動実機テスト</x:v>
      </x:c>
      <x:c r="G81" s="7" t="str">
        <x:v>共通</x:v>
      </x:c>
      <x:c r="H81" s="7" t="str">
        <x:v>P0</x:v>
      </x:c>
      <x:c r="I81" s="4" t="str">
        <x:v>S2＋集計fixture</x:v>
      </x:c>
      <x:c r="J81" s="4" t="str">
        <x:v>既知の距離・時間・件数fixtureで週間・月間・年間を切替。</x:v>
      </x:c>
      <x:c r="K81" s="4" t="str">
        <x:v>同じ操作を両OSで個別に実施</x:v>
      </x:c>
      <x:c r="L81" s="29" t="str">
        <x:v>未実施</x:v>
      </x:c>
      <x:c r="M81" s="29" t="str">
        <x:v>未実施</x:v>
      </x:c>
      <x:c r="N81" s="30" t="str">
        <x:v>現行ビルドで当該手順の実施証跡なし。過去結果と参考試験は右欄。</x:v>
      </x:c>
      <x:c r="O81" s="30" t="str">
        <x:v>現行ビルドで当該手順の実施証跡なし。過去結果と参考試験は右欄。</x:v>
      </x:c>
      <x:c r="P81" s="30" t="str">
        <x:v>未採番：該当証跡未特定</x:v>
      </x:c>
      <x:c r="Q81" s="4" t="str">
        <x:v>実機UI操作＋読取API／端末ログ照合。専用ドライバー整備後に実施。</x:v>
      </x:c>
      <x:c r="R81" s="4" t="str">
        <x:v>評価は対象の現行ビルドだけ。旧版/検証版結果を現行OKへ繰り上げない。</x:v>
      </x:c>
      <x:c r="S81" s="4" t="str">
        <x:v>未確認</x:v>
      </x:c>
      <x:c r="T81" s="4" t="str">
        <x:v>未確認</x:v>
      </x:c>
      <x:c r="U81" s="4" t="str">
        <x:v>該当する過去の実機証跡を今回特定できず。未実施と断定せず未確認。</x:v>
      </x:c>
      <x:c r="V81" s="4" t="str">
        <x:v>該当する過去の実機証跡を今回特定できず。未実施と断定せず未確認。</x:v>
      </x:c>
      <x:c r="W81" s="4" t="str">
        <x:v>変更/障害時に追試</x:v>
      </x:c>
      <x:c r="X81" s="4" t="str">
        <x:v>未確認の全件を必須にはしない。変更範囲・重大度・障害発生に応じて選択。</x:v>
      </x:c>
      <x:c r="Y81" s="4" t="str">
        <x:v>A1 最優先</x:v>
      </x:c>
      <x:c r="Z81" s="4" t="str">
        <x:v>境界fixtureの期待原ログ時刻／集計を機械照合。単体試験の合格を実機合格と区別。</x:v>
      </x:c>
    </x:row>
    <x:row r="82" ht="105" customHeight="1">
      <x:c r="A82" s="6" t="n">
        <x:v>75</x:v>
      </x:c>
      <x:c r="B82" s="4" t="str">
        <x:v>07 カレンダー・分析・ランキング</x:v>
      </x:c>
      <x:c r="C82" s="4" t="str">
        <x:v>分析</x:v>
      </x:c>
      <x:c r="D82" s="4" t="str">
        <x:v>区分別フィルター</x:v>
      </x:c>
      <x:c r="E82" s="4" t="str">
        <x:v>対象区分だけを集計し、総距離・総時間・回数・グラフが一致する。</x:v>
      </x:c>
      <x:c r="F82" s="4" t="str">
        <x:v>自動実機テスト</x:v>
      </x:c>
      <x:c r="G82" s="7" t="str">
        <x:v>共通</x:v>
      </x:c>
      <x:c r="H82" s="7" t="str">
        <x:v>P1</x:v>
      </x:c>
      <x:c r="I82" s="4" t="str">
        <x:v>S2＋各区分fixture</x:v>
      </x:c>
      <x:c r="J82" s="4" t="str">
        <x:v>すべて・ウォーキング・ランニング・サイクリングを切替。</x:v>
      </x:c>
      <x:c r="K82" s="4" t="str">
        <x:v>同じ操作を両OSで個別に実施</x:v>
      </x:c>
      <x:c r="L82" s="29" t="str">
        <x:v>未実施</x:v>
      </x:c>
      <x:c r="M82" s="29" t="str">
        <x:v>未実施</x:v>
      </x:c>
      <x:c r="N82" s="30" t="str">
        <x:v>現行ビルドで当該手順の実施証跡なし。過去結果と参考試験は右欄。</x:v>
      </x:c>
      <x:c r="O82" s="30" t="str">
        <x:v>現行ビルドで当該手順の実施証跡なし。過去結果と参考試験は右欄。</x:v>
      </x:c>
      <x:c r="P82" s="30" t="str">
        <x:v>未採番：該当証跡未特定</x:v>
      </x:c>
      <x:c r="Q82" s="4" t="str">
        <x:v>実機UI操作＋読取API／端末ログ照合。専用ドライバー整備後に実施。</x:v>
      </x:c>
      <x:c r="R82" s="4" t="str">
        <x:v>評価は対象の現行ビルドだけ。旧版/検証版結果を現行OKへ繰り上げない。</x:v>
      </x:c>
      <x:c r="S82" s="4" t="str">
        <x:v>未確認</x:v>
      </x:c>
      <x:c r="T82" s="4" t="str">
        <x:v>未確認</x:v>
      </x:c>
      <x:c r="U82" s="4" t="str">
        <x:v>該当する過去の実機証跡を今回特定できず。未実施と断定せず未確認。</x:v>
      </x:c>
      <x:c r="V82" s="4" t="str">
        <x:v>該当する過去の実機証跡を今回特定できず。未実施と断定せず未確認。</x:v>
      </x:c>
      <x:c r="W82" s="4" t="str">
        <x:v>通常回帰・未確認</x:v>
      </x:c>
      <x:c r="X82" s="4" t="str">
        <x:v>未確認の全件を必須にはしない。変更範囲・重大度・障害発生に応じて選択。</x:v>
      </x:c>
      <x:c r="Y82" s="4" t="str">
        <x:v>A2 次優先</x:v>
      </x:c>
      <x:c r="Z82" s="4" t="str">
        <x:v>安定した実機UIドライバーとfixtureを整備し、対象OSの評価欄へ証跡付きで記録。</x:v>
      </x:c>
    </x:row>
    <x:row r="83" ht="105" customHeight="1">
      <x:c r="A83" s="6" t="n">
        <x:v>76</x:v>
      </x:c>
      <x:c r="B83" s="4" t="str">
        <x:v>07 カレンダー・分析・ランキング</x:v>
      </x:c>
      <x:c r="C83" s="4" t="str">
        <x:v>分析</x:v>
      </x:c>
      <x:c r="D83" s="4" t="str">
        <x:v>ゼロ件と0mの区別</x:v>
      </x:c>
      <x:c r="E83" s="4" t="str">
        <x:v>空期間は0件、0m記録ありは該当件数を表示し、NaNやグラフ異常がない。</x:v>
      </x:c>
      <x:c r="F83" s="4" t="str">
        <x:v>自動実機テスト</x:v>
      </x:c>
      <x:c r="G83" s="7" t="str">
        <x:v>共通</x:v>
      </x:c>
      <x:c r="H83" s="7" t="str">
        <x:v>P1</x:v>
      </x:c>
      <x:c r="I83" s="4" t="str">
        <x:v>標準環境S1</x:v>
      </x:c>
      <x:c r="J83" s="4" t="str">
        <x:v>空期間と距離0mの記録がある期間をそれぞれ表示。</x:v>
      </x:c>
      <x:c r="K83" s="4" t="str">
        <x:v>同じ操作を両OSで個別に実施</x:v>
      </x:c>
      <x:c r="L83" s="29" t="str">
        <x:v>未実施</x:v>
      </x:c>
      <x:c r="M83" s="29" t="str">
        <x:v>未実施</x:v>
      </x:c>
      <x:c r="N83" s="30" t="str">
        <x:v>現行ビルドで当該手順の実施証跡なし。過去結果と参考試験は右欄。</x:v>
      </x:c>
      <x:c r="O83" s="30" t="str">
        <x:v>現行ビルドで当該手順の実施証跡なし。過去結果と参考試験は右欄。</x:v>
      </x:c>
      <x:c r="P83" s="30" t="str">
        <x:v>未採番：該当証跡未特定</x:v>
      </x:c>
      <x:c r="Q83" s="4" t="str">
        <x:v>実機UI操作＋読取API／端末ログ照合。専用ドライバー整備後に実施。</x:v>
      </x:c>
      <x:c r="R83" s="4" t="str">
        <x:v>評価は対象の現行ビルドだけ。旧版/検証版結果を現行OKへ繰り上げない。</x:v>
      </x:c>
      <x:c r="S83" s="4" t="str">
        <x:v>未確認</x:v>
      </x:c>
      <x:c r="T83" s="4" t="str">
        <x:v>未確認</x:v>
      </x:c>
      <x:c r="U83" s="4" t="str">
        <x:v>該当する過去の実機証跡を今回特定できず。未実施と断定せず未確認。</x:v>
      </x:c>
      <x:c r="V83" s="4" t="str">
        <x:v>該当する過去の実機証跡を今回特定できず。未実施と断定せず未確認。</x:v>
      </x:c>
      <x:c r="W83" s="4" t="str">
        <x:v>通常回帰・未確認</x:v>
      </x:c>
      <x:c r="X83" s="4" t="str">
        <x:v>未確認の全件を必須にはしない。変更範囲・重大度・障害発生に応じて選択。</x:v>
      </x:c>
      <x:c r="Y83" s="4" t="str">
        <x:v>A2 次優先</x:v>
      </x:c>
      <x:c r="Z83" s="4" t="str">
        <x:v>安定した実機UIドライバーとfixtureを整備し、対象OSの評価欄へ証跡付きで記録。</x:v>
      </x:c>
    </x:row>
    <x:row r="84" ht="105" customHeight="1">
      <x:c r="A84" s="6" t="n">
        <x:v>77</x:v>
      </x:c>
      <x:c r="B84" s="4" t="str">
        <x:v>07 カレンダー・分析・ランキング</x:v>
      </x:c>
      <x:c r="C84" s="4" t="str">
        <x:v>ランキング</x:v>
      </x:c>
      <x:c r="D84" s="4" t="str">
        <x:v>週間・月間・全期間切替</x:v>
      </x:c>
      <x:c r="E84" s="4" t="str">
        <x:v>表示期間・対象者・距離順が元集計と一致する。</x:v>
      </x:c>
      <x:c r="F84" s="4" t="str">
        <x:v>自動実機テスト</x:v>
      </x:c>
      <x:c r="G84" s="7" t="str">
        <x:v>共通</x:v>
      </x:c>
      <x:c r="H84" s="7" t="str">
        <x:v>P1</x:v>
      </x:c>
      <x:c r="I84" s="4" t="str">
        <x:v>S2＋ランキングfixture</x:v>
      </x:c>
      <x:c r="J84" s="4" t="str">
        <x:v>専用ユーザーの距離データで期間を切替し順位を照合。</x:v>
      </x:c>
      <x:c r="K84" s="4" t="str">
        <x:v>同じ操作を両OSで個別に実施</x:v>
      </x:c>
      <x:c r="L84" s="29" t="str">
        <x:v>未実施</x:v>
      </x:c>
      <x:c r="M84" s="29" t="str">
        <x:v>未実施</x:v>
      </x:c>
      <x:c r="N84" s="30" t="str">
        <x:v>現行ビルドで当該手順の実施証跡なし。過去結果と参考試験は右欄。</x:v>
      </x:c>
      <x:c r="O84" s="30" t="str">
        <x:v>現行ビルドで当該手順の実施証跡なし。過去結果と参考試験は右欄。</x:v>
      </x:c>
      <x:c r="P84" s="30" t="str">
        <x:v>未採番：該当証跡未特定</x:v>
      </x:c>
      <x:c r="Q84" s="4" t="str">
        <x:v>実機UI操作＋読取API／端末ログ照合。専用ドライバー整備後に実施。</x:v>
      </x:c>
      <x:c r="R84" s="4" t="str">
        <x:v>評価は対象の現行ビルドだけ。旧版/検証版結果を現行OKへ繰り上げない。</x:v>
      </x:c>
      <x:c r="S84" s="4" t="str">
        <x:v>未確認</x:v>
      </x:c>
      <x:c r="T84" s="4" t="str">
        <x:v>未確認</x:v>
      </x:c>
      <x:c r="U84" s="4" t="str">
        <x:v>該当する過去の実機証跡を今回特定できず。未実施と断定せず未確認。</x:v>
      </x:c>
      <x:c r="V84" s="4" t="str">
        <x:v>該当する過去の実機証跡を今回特定できず。未実施と断定せず未確認。</x:v>
      </x:c>
      <x:c r="W84" s="4" t="str">
        <x:v>通常回帰・未確認</x:v>
      </x:c>
      <x:c r="X84" s="4" t="str">
        <x:v>未確認の全件を必須にはしない。変更範囲・重大度・障害発生に応じて選択。</x:v>
      </x:c>
      <x:c r="Y84" s="4" t="str">
        <x:v>A2 次優先</x:v>
      </x:c>
      <x:c r="Z84" s="4" t="str">
        <x:v>安定した実機UIドライバーとfixtureを整備し、対象OSの評価欄へ証跡付きで記録。</x:v>
      </x:c>
    </x:row>
    <x:row r="85" ht="105" customHeight="1">
      <x:c r="A85" s="6" t="n">
        <x:v>78</x:v>
      </x:c>
      <x:c r="B85" s="4" t="str">
        <x:v>07 カレンダー・分析・ランキング</x:v>
      </x:c>
      <x:c r="C85" s="4" t="str">
        <x:v>ランキング</x:v>
      </x:c>
      <x:c r="D85" s="4" t="str">
        <x:v>対象範囲とユーザー切替</x:v>
      </x:c>
      <x:c r="E85" s="4" t="str">
        <x:v>画面の対象範囲に従い表示し、前ユーザーの結果を残さない。</x:v>
      </x:c>
      <x:c r="F85" s="4" t="str">
        <x:v>自動実機テスト</x:v>
      </x:c>
      <x:c r="G85" s="7" t="str">
        <x:v>共通</x:v>
      </x:c>
      <x:c r="H85" s="7" t="str">
        <x:v>P1</x:v>
      </x:c>
      <x:c r="I85" s="4" t="str">
        <x:v>標準環境S1</x:v>
      </x:c>
      <x:c r="J85" s="4" t="str">
        <x:v>共有設定が異なるA/Bでログインを切替してランキング表示。</x:v>
      </x:c>
      <x:c r="K85" s="4" t="str">
        <x:v>同じ操作を両OSで個別に実施</x:v>
      </x:c>
      <x:c r="L85" s="29" t="str">
        <x:v>未実施</x:v>
      </x:c>
      <x:c r="M85" s="29" t="str">
        <x:v>未実施</x:v>
      </x:c>
      <x:c r="N85" s="30" t="str">
        <x:v>現行ビルドで当該手順の実施証跡なし。過去結果と参考試験は右欄。</x:v>
      </x:c>
      <x:c r="O85" s="30" t="str">
        <x:v>現行ビルドで当該手順の実施証跡なし。過去結果と参考試験は右欄。</x:v>
      </x:c>
      <x:c r="P85" s="30" t="str">
        <x:v>未採番：該当証跡未特定</x:v>
      </x:c>
      <x:c r="Q85" s="4" t="str">
        <x:v>実機UI操作＋読取API／端末ログ照合。専用ドライバー整備後に実施。</x:v>
      </x:c>
      <x:c r="R85" s="4" t="str">
        <x:v>評価は対象の現行ビルドだけ。旧版/検証版結果を現行OKへ繰り上げない。</x:v>
      </x:c>
      <x:c r="S85" s="4" t="str">
        <x:v>未確認</x:v>
      </x:c>
      <x:c r="T85" s="4" t="str">
        <x:v>未確認</x:v>
      </x:c>
      <x:c r="U85" s="4" t="str">
        <x:v>該当する過去の実機証跡を今回特定できず。未実施と断定せず未確認。</x:v>
      </x:c>
      <x:c r="V85" s="4" t="str">
        <x:v>該当する過去の実機証跡を今回特定できず。未実施と断定せず未確認。</x:v>
      </x:c>
      <x:c r="W85" s="4" t="str">
        <x:v>通常回帰・未確認</x:v>
      </x:c>
      <x:c r="X85" s="4" t="str">
        <x:v>未確認の全件を必須にはしない。変更範囲・重大度・障害発生に応じて選択。</x:v>
      </x:c>
      <x:c r="Y85" s="4" t="str">
        <x:v>A2 次優先</x:v>
      </x:c>
      <x:c r="Z85" s="4" t="str">
        <x:v>安定した実機UIドライバーとfixtureを整備し、対象OSの評価欄へ証跡付きで記録。</x:v>
      </x:c>
    </x:row>
    <x:row r="86" ht="105" customHeight="1">
      <x:c r="A86" s="6" t="n">
        <x:v>79</x:v>
      </x:c>
      <x:c r="B86" s="4" t="str">
        <x:v>07 カレンダー・分析・ランキング</x:v>
      </x:c>
      <x:c r="C86" s="4" t="str">
        <x:v>集計</x:v>
      </x:c>
      <x:c r="D86" s="4" t="str">
        <x:v>保存と破棄の件数反映</x:v>
      </x:c>
      <x:c r="E86" s="4" t="str">
        <x:v>保存分だけ1件増え、破棄分はどの集計にも残らない。</x:v>
      </x:c>
      <x:c r="F86" s="4" t="str">
        <x:v>自動実機テスト</x:v>
      </x:c>
      <x:c r="G86" s="7" t="str">
        <x:v>共通</x:v>
      </x:c>
      <x:c r="H86" s="7" t="str">
        <x:v>P0</x:v>
      </x:c>
      <x:c r="I86" s="4" t="str">
        <x:v>標準環境S1</x:v>
      </x:c>
      <x:c r="J86" s="4" t="str">
        <x:v>保存1件・破棄1件を行い、月間表示・分析・カレンダーを照合。</x:v>
      </x:c>
      <x:c r="K86" s="4" t="str">
        <x:v>同じ操作を両OSで個別に実施</x:v>
      </x:c>
      <x:c r="L86" s="29" t="str">
        <x:v>保留</x:v>
      </x:c>
      <x:c r="M86" s="29" t="str">
        <x:v>保留</x:v>
      </x:c>
      <x:c r="N86" s="30" t="str">
        <x:v>対象：1.0.5(12)／証跡照合日2026-10-26。実施：利用者操作＋ログ/クラウド照合。1.0.5(12)保存後の月週集計と破棄後不変を照合。分析・カレンダー画面の全表示までは未再確認。</x:v>
      </x:c>
      <x:c r="O86" s="30" t="str">
        <x:v>対象：1.0.5(27)／証跡照合日2026-10-26。実施：利用者操作＋ログ/クラウド照合。1.0.5(27)保存後の月週集計と破棄後不変を照合。分析・カレンダー画面の全表示までは未再確認。</x:v>
      </x:c>
      <x:c r="P86" s="30" t="str">
        <x:v>E02 / E03 / E07</x:v>
      </x:c>
      <x:c r="Q86" s="4" t="str">
        <x:v>実機UI操作＋読取API／端末ログ照合。専用ドライバー整備後に実施。</x:v>
      </x:c>
      <x:c r="R86" s="4" t="str">
        <x:v>評価は対象の現行ビルドだけ。旧版/検証版結果を現行OKへ繰り上げない。</x:v>
      </x:c>
      <x:c r="S86" s="4" t="str">
        <x:v>現行部分確認</x:v>
      </x:c>
      <x:c r="T86" s="4" t="str">
        <x:v>現行部分確認</x:v>
      </x:c>
      <x:c r="U86" s="4" t="str">
        <x:v>該当する過去の実機証跡を今回特定できず。未実施と断定せず未確認。</x:v>
      </x:c>
      <x:c r="V86" s="4" t="str">
        <x:v>検証104／2026-10-24：保存・破棄・上限後の名前入力再表示・保存後再開を実機/API確認。現行27で同じシナリオを再実施したものではない。 [E07]</x:v>
      </x:c>
      <x:c r="W86" s="4" t="str">
        <x:v>変更/障害時に追試</x:v>
      </x:c>
      <x:c r="X86" s="4" t="str">
        <x:v>未確認の全件を必須にはしない。変更範囲・重大度・障害発生に応じて選択。</x:v>
      </x:c>
      <x:c r="Y86" s="4" t="str">
        <x:v>A1 最優先</x:v>
      </x:c>
      <x:c r="Z86" s="4" t="str">
        <x:v>境界fixtureの期待原ログ時刻／集計を機械照合。単体試験の合格を実機合格と区別。</x:v>
      </x:c>
    </x:row>
    <x:row r="87" ht="105" customHeight="1">
      <x:c r="A87" s="9" t="n">
        <x:v>80</x:v>
      </x:c>
      <x:c r="B87" s="10" t="str">
        <x:v>08 認証・ユーザー切替</x:v>
      </x:c>
      <x:c r="C87" s="10" t="str">
        <x:v>ログイン</x:v>
      </x:c>
      <x:c r="D87" s="10" t="str">
        <x:v>有効アカウントでログイン</x:v>
      </x:c>
      <x:c r="E87" s="10" t="str">
        <x:v>正しいユーザーのホームへ遷移し、他ユーザー情報が出ない。</x:v>
      </x:c>
      <x:c r="F87" s="10" t="str">
        <x:v>自動実機テスト</x:v>
      </x:c>
      <x:c r="G87" s="11" t="str">
        <x:v>共通</x:v>
      </x:c>
      <x:c r="H87" s="11" t="str">
        <x:v>P0</x:v>
      </x:c>
      <x:c r="I87" s="10" t="str">
        <x:v>標準環境S1</x:v>
      </x:c>
      <x:c r="J87" s="10" t="str">
        <x:v>専用Aでログイン。ホーム名とユーザーIDを確認する。</x:v>
      </x:c>
      <x:c r="K87" s="10" t="str">
        <x:v>同じ操作を両OSで個別に実施</x:v>
      </x:c>
      <x:c r="L87" s="29" t="str">
        <x:v>保留</x:v>
      </x:c>
      <x:c r="M87" s="29" t="str">
        <x:v>保留</x:v>
      </x:c>
      <x:c r="N87" s="30" t="str">
        <x:v>対象：1.0.5(12)／証跡照合日2026-10-26。実施：利用者操作＋ログ/クラウド照合。1.0.5(12)ログイン済み状態の上書き・再起動保持を確認。現行版でサインアウト後の新規ログインは未実施。</x:v>
      </x:c>
      <x:c r="O87" s="30" t="str">
        <x:v>対象：1.0.5(27)／証跡照合日2026-10-26。実施：利用者操作＋ログ/クラウド照合。1.0.5(27)ログイン済み状態の上書き・再起動保持を確認。現行版でサインアウト後の新規ログインは未実施。</x:v>
      </x:c>
      <x:c r="P87" s="30" t="str">
        <x:v>E01 / E04 / E09 / E19</x:v>
      </x:c>
      <x:c r="Q87" s="4" t="str">
        <x:v>実機UI操作＋読取API／端末ログ照合。専用ドライバー整備後に実施。</x:v>
      </x:c>
      <x:c r="R87" s="4" t="str">
        <x:v>評価は対象の現行ビルドだけ。旧版/検証版結果を現行OKへ繰り上げない。</x:v>
      </x:c>
      <x:c r="S87" s="4" t="str">
        <x:v>現行部分確認</x:v>
      </x:c>
      <x:c r="T87" s="4" t="str">
        <x:v>現行部分確認</x:v>
      </x:c>
      <x:c r="U87" s="4" t="str">
        <x:v>検証104認証診断版／2026-10-25：2回ログイン、B→A切替、再起動ホームと既存地図を確認。1738既存行＋合成pending2件の内容一致。27/12の反復操作ではない。 [E09,E19]</x:v>
      </x:c>
      <x:c r="V87" s="4" t="str">
        <x:v>検証104認証診断版／2026-10-25：2回ログイン、B→A切替、再起動ホームと既存地図を確認。2032既存行＋合成pending2件の内容一致。27/12の反復操作ではない。 [E09,E19]</x:v>
      </x:c>
      <x:c r="W87" s="4" t="str">
        <x:v>公開前必須残（最小確認案）</x:v>
      </x:c>
      <x:c r="X87" s="4" t="str">
        <x:v>「残テスト・自動化」のG1〜G7で対象OSと手順を確認。関連Noの全組合せが完了するとは限らない。</x:v>
      </x:c>
      <x:c r="Y87" s="4" t="str">
        <x:v>A1 最優先</x:v>
      </x:c>
      <x:c r="Z87" s="4" t="str">
        <x:v>実機ログイン・切替ドライバー＋ユーザー別キューハッシュ／機密ログ検査。秘密はログに出さない。</x:v>
      </x:c>
    </x:row>
    <x:row r="88" ht="105" customHeight="1">
      <x:c r="A88" s="6" t="n">
        <x:v>81</x:v>
      </x:c>
      <x:c r="B88" s="4" t="str">
        <x:v>08 認証・ユーザー切替</x:v>
      </x:c>
      <x:c r="C88" s="4" t="str">
        <x:v>反復</x:v>
      </x:c>
      <x:c r="D88" s="4" t="str">
        <x:v>サインアウトとログイン2回</x:v>
      </x:c>
      <x:c r="E88" s="4" t="str">
        <x:v>毎回ホームへ遷移し、保存済みデータとキューを保持する。</x:v>
      </x:c>
      <x:c r="F88" s="4" t="str">
        <x:v>自動実機テスト</x:v>
      </x:c>
      <x:c r="G88" s="7" t="str">
        <x:v>共通</x:v>
      </x:c>
      <x:c r="H88" s="7" t="str">
        <x:v>P0</x:v>
      </x:c>
      <x:c r="I88" s="4" t="str">
        <x:v>標準環境S1</x:v>
      </x:c>
      <x:c r="J88" s="4" t="str">
        <x:v>記録・共有停止中にサインアウト→Aへログインを2回繰返す。</x:v>
      </x:c>
      <x:c r="K88" s="4" t="str">
        <x:v>同じ操作を両OSで個別に実施</x:v>
      </x:c>
      <x:c r="L88" s="29" t="str">
        <x:v>未実施</x:v>
      </x:c>
      <x:c r="M88" s="29" t="str">
        <x:v>未実施</x:v>
      </x:c>
      <x:c r="N88" s="30" t="str">
        <x:v>現行ビルドで当該手順の実施証跡なし。過去結果と参考試験は右欄。</x:v>
      </x:c>
      <x:c r="O88" s="30" t="str">
        <x:v>現行ビルドで当該手順の実施証跡なし。過去結果と参考試験は右欄。</x:v>
      </x:c>
      <x:c r="P88" s="30" t="str">
        <x:v>E09 / E19</x:v>
      </x:c>
      <x:c r="Q88" s="4" t="str">
        <x:v>実機UI操作＋読取API／端末ログ照合。専用ドライバー整備後に実施。</x:v>
      </x:c>
      <x:c r="R88" s="4" t="str">
        <x:v>評価は対象の現行ビルドだけ。旧版/検証版結果を現行OKへ繰り上げない。</x:v>
      </x:c>
      <x:c r="S88" s="4" t="str">
        <x:v>旧版/検証版のみ</x:v>
      </x:c>
      <x:c r="T88" s="4" t="str">
        <x:v>旧版/検証版のみ</x:v>
      </x:c>
      <x:c r="U88" s="4" t="str">
        <x:v>検証104認証診断版／2026-10-25：2回ログイン、B→A切替、再起動ホームと既存地図を確認。1738既存行＋合成pending2件の内容一致。27/12の反復操作ではない。 [E09,E19]</x:v>
      </x:c>
      <x:c r="V88" s="4" t="str">
        <x:v>検証104認証診断版／2026-10-25：2回ログイン、B→A切替、再起動ホームと既存地図を確認。2032既存行＋合成pending2件の内容一致。27/12の反復操作ではない。 [E09,E19]</x:v>
      </x:c>
      <x:c r="W88" s="4" t="str">
        <x:v>公開前必須残（最小確認案）</x:v>
      </x:c>
      <x:c r="X88" s="4" t="str">
        <x:v>「残テスト・自動化」のG1〜G7で対象OSと手順を確認。関連Noの全組合せが完了するとは限らない。</x:v>
      </x:c>
      <x:c r="Y88" s="4" t="str">
        <x:v>A1 最優先</x:v>
      </x:c>
      <x:c r="Z88" s="4" t="str">
        <x:v>実機ログイン・切替ドライバー＋ユーザー別キューハッシュ／機密ログ検査。秘密はログに出さない。</x:v>
      </x:c>
    </x:row>
    <x:row r="89" ht="105" customHeight="1">
      <x:c r="A89" s="6" t="n">
        <x:v>82</x:v>
      </x:c>
      <x:c r="B89" s="4" t="str">
        <x:v>08 認証・ユーザー切替</x:v>
      </x:c>
      <x:c r="C89" s="4" t="str">
        <x:v>切替</x:v>
      </x:c>
      <x:c r="D89" s="4" t="str">
        <x:v>記録側から閲覧側へ往復</x:v>
      </x:c>
      <x:c r="E89" s="4" t="str">
        <x:v>表示名・履歴・共有権限が各ユーザーに対応し、未送信の所有者を付替えない。</x:v>
      </x:c>
      <x:c r="F89" s="4" t="str">
        <x:v>自動実機テスト</x:v>
      </x:c>
      <x:c r="G89" s="7" t="str">
        <x:v>共通</x:v>
      </x:c>
      <x:c r="H89" s="7" t="str">
        <x:v>P0</x:v>
      </x:c>
      <x:c r="I89" s="4" t="str">
        <x:v>標準環境S1</x:v>
      </x:c>
      <x:c r="J89" s="4" t="str">
        <x:v>A→B→Aとサインアウト・ログインしてホームと履歴を確認。</x:v>
      </x:c>
      <x:c r="K89" s="4" t="str">
        <x:v>同じ操作を両OSで個別に実施</x:v>
      </x:c>
      <x:c r="L89" s="29" t="str">
        <x:v>未実施</x:v>
      </x:c>
      <x:c r="M89" s="29" t="str">
        <x:v>未実施</x:v>
      </x:c>
      <x:c r="N89" s="30" t="str">
        <x:v>現行ビルドで当該手順の実施証跡なし。過去結果と参考試験は右欄。</x:v>
      </x:c>
      <x:c r="O89" s="30" t="str">
        <x:v>現行ビルドで当該手順の実施証跡なし。過去結果と参考試験は右欄。</x:v>
      </x:c>
      <x:c r="P89" s="30" t="str">
        <x:v>E09 / E19</x:v>
      </x:c>
      <x:c r="Q89" s="4" t="str">
        <x:v>実機UI操作＋読取API／端末ログ照合。専用ドライバー整備後に実施。</x:v>
      </x:c>
      <x:c r="R89" s="4" t="str">
        <x:v>評価は対象の現行ビルドだけ。旧版/検証版結果を現行OKへ繰り上げない。</x:v>
      </x:c>
      <x:c r="S89" s="4" t="str">
        <x:v>旧版/検証版のみ</x:v>
      </x:c>
      <x:c r="T89" s="4" t="str">
        <x:v>旧版/検証版のみ</x:v>
      </x:c>
      <x:c r="U89" s="4" t="str">
        <x:v>検証104認証診断版／2026-10-25：2回ログイン、B→A切替、再起動ホームと既存地図を確認。1738既存行＋合成pending2件の内容一致。27/12の反復操作ではない。 [E09,E19]</x:v>
      </x:c>
      <x:c r="V89" s="4" t="str">
        <x:v>検証104認証診断版／2026-10-25：2回ログイン、B→A切替、再起動ホームと既存地図を確認。2032既存行＋合成pending2件の内容一致。27/12の反復操作ではない。 [E09,E19]</x:v>
      </x:c>
      <x:c r="W89" s="4" t="str">
        <x:v>公開前必須残（最小確認案）</x:v>
      </x:c>
      <x:c r="X89" s="4" t="str">
        <x:v>「残テスト・自動化」のG1〜G7で対象OSと手順を確認。関連Noの全組合せが完了するとは限らない。</x:v>
      </x:c>
      <x:c r="Y89" s="4" t="str">
        <x:v>A1 最優先</x:v>
      </x:c>
      <x:c r="Z89" s="4" t="str">
        <x:v>実機ログイン・切替ドライバー＋ユーザー別キューハッシュ／機密ログ検査。秘密はログに出さない。</x:v>
      </x:c>
    </x:row>
    <x:row r="90" ht="105" customHeight="1">
      <x:c r="A90" s="6" t="n">
        <x:v>83</x:v>
      </x:c>
      <x:c r="B90" s="4" t="str">
        <x:v>08 認証・ユーザー切替</x:v>
      </x:c>
      <x:c r="C90" s="4" t="str">
        <x:v>再起動</x:v>
      </x:c>
      <x:c r="D90" s="4" t="str">
        <x:v>ログイン保持</x:v>
      </x:c>
      <x:c r="E90" s="4" t="str">
        <x:v>有効セッションでは再入力せず元のアカウントで開ける。</x:v>
      </x:c>
      <x:c r="F90" s="4" t="str">
        <x:v>手動実機テスト</x:v>
      </x:c>
      <x:c r="G90" s="7" t="str">
        <x:v>共通</x:v>
      </x:c>
      <x:c r="H90" s="7" t="str">
        <x:v>P0</x:v>
      </x:c>
      <x:c r="I90" s="4" t="str">
        <x:v>標準環境S1</x:v>
      </x:c>
      <x:c r="J90" s="4" t="str">
        <x:v>ログイン後にアプリを終了・再起動する。</x:v>
      </x:c>
      <x:c r="K90" s="4" t="str">
        <x:v>同じ操作を両OSで個別に実施</x:v>
      </x:c>
      <x:c r="L90" s="29" t="str">
        <x:v>OK</x:v>
      </x:c>
      <x:c r="M90" s="29" t="str">
        <x:v>OK</x:v>
      </x:c>
      <x:c r="N90" s="30" t="str">
        <x:v>対象：1.0.5(12)／証跡照合日2026-10-26。実施：利用者操作＋ログ/クラウド照合。1.0.5(12)スワイプ終了後に再ログイン不要で同じ利用者のホームへ戻る。</x:v>
      </x:c>
      <x:c r="O90" s="30" t="str">
        <x:v>対象：1.0.5(27)／証跡照合日2026-10-26。実施：利用者操作＋ログ/クラウド照合。1.0.5(27)スワイプ終了後に再ログイン不要で同じ利用者のホームへ戻る。</x:v>
      </x:c>
      <x:c r="P90" s="30" t="str">
        <x:v>E01 / E04 / E09 / E19</x:v>
      </x:c>
      <x:c r="Q90" s="4" t="str">
        <x:v>画面観察・録画＋操作時刻・端末ログ／読取APIを照合。</x:v>
      </x:c>
      <x:c r="R90" s="4" t="str">
        <x:v>評価は対象の現行ビルドだけ。旧版/検証版結果を現行OKへ繰り上げない。</x:v>
      </x:c>
      <x:c r="S90" s="4" t="str">
        <x:v>現行OK</x:v>
      </x:c>
      <x:c r="T90" s="4" t="str">
        <x:v>現行OK</x:v>
      </x:c>
      <x:c r="U90" s="4" t="str">
        <x:v>検証104認証診断版／2026-10-25：2回ログイン、B→A切替、再起動ホームと既存地図を確認。1738既存行＋合成pending2件の内容一致。27/12の反復操作ではない。 [E09,E19]</x:v>
      </x:c>
      <x:c r="V90" s="4" t="str">
        <x:v>検証104認証診断版／2026-10-25：2回ログイン、B→A切替、再起動ホームと既存地図を確認。2032既存行＋合成pending2件の内容一致。27/12の反復操作ではない。 [E09,E19]</x:v>
      </x:c>
      <x:c r="W90" s="4" t="str">
        <x:v>現行確認済み</x:v>
      </x:c>
      <x:c r="X90" s="4" t="str">
        <x:v>同じ成果物・OTA・本番差分が不変なら無目的に再実施しない。</x:v>
      </x:c>
      <x:c r="Y90" s="4" t="str">
        <x:v>A1 最優先</x:v>
      </x:c>
      <x:c r="Z90" s="4" t="str">
        <x:v>実機ログイン・切替ドライバー＋ユーザー別キューハッシュ／機密ログ検査。秘密はログに出さない。</x:v>
      </x:c>
    </x:row>
    <x:row r="91" ht="105" customHeight="1">
      <x:c r="A91" s="6" t="n">
        <x:v>84</x:v>
      </x:c>
      <x:c r="B91" s="4" t="str">
        <x:v>08 認証・ユーザー切替</x:v>
      </x:c>
      <x:c r="C91" s="4" t="str">
        <x:v>失敗</x:v>
      </x:c>
      <x:c r="D91" s="4" t="str">
        <x:v>誤パスワード時の案内</x:v>
      </x:c>
      <x:c r="E91" s="4" t="str">
        <x:v>失敗を表示し、成功扱いしない。パスワードを診断に残さず、保存領域を消さない。</x:v>
      </x:c>
      <x:c r="F91" s="4" t="str">
        <x:v>手動実機テスト</x:v>
      </x:c>
      <x:c r="G91" s="7" t="str">
        <x:v>共通</x:v>
      </x:c>
      <x:c r="H91" s="7" t="str">
        <x:v>P0</x:v>
      </x:c>
      <x:c r="I91" s="4" t="str">
        <x:v>専用アカウント。ロックアウト防止のため連打しない</x:v>
      </x:c>
      <x:c r="J91" s="4" t="str">
        <x:v>専用Aへ誤パスワードで1回だけログインする。</x:v>
      </x:c>
      <x:c r="K91" s="4" t="str">
        <x:v>同じ操作を両OSで個別に実施</x:v>
      </x:c>
      <x:c r="L91" s="29" t="str">
        <x:v>未実施</x:v>
      </x:c>
      <x:c r="M91" s="29" t="str">
        <x:v>未実施</x:v>
      </x:c>
      <x:c r="N91" s="30" t="str">
        <x:v>現行ビルドで当該手順の実施証跡なし。過去結果と参考試験は右欄。</x:v>
      </x:c>
      <x:c r="O91" s="30" t="str">
        <x:v>現行ビルドで当該手順の実施証跡なし。過去結果と参考試験は右欄。</x:v>
      </x:c>
      <x:c r="P91" s="30" t="str">
        <x:v>E09 / E19</x:v>
      </x:c>
      <x:c r="Q91" s="4" t="str">
        <x:v>画面観察・録画＋操作時刻・端末ログ／読取APIを照合。</x:v>
      </x:c>
      <x:c r="R91" s="4" t="str">
        <x:v>認証診断4単体試験で成功/MFA/例外保持・秘密除外・上限・障害分離。通常版の実ログイン失敗を再現した試験ではない。 [E09,E19]</x:v>
      </x:c>
      <x:c r="S91" s="4" t="str">
        <x:v>API/ローカルのみ</x:v>
      </x:c>
      <x:c r="T91" s="4" t="str">
        <x:v>API/ローカルのみ</x:v>
      </x:c>
      <x:c r="U91" s="4" t="str">
        <x:v>該当する過去の実機証跡を今回特定できず。未実施と断定せず未確認。</x:v>
      </x:c>
      <x:c r="V91" s="4" t="str">
        <x:v>該当する過去の実機証跡を今回特定できず。未実施と断定せず未確認。</x:v>
      </x:c>
      <x:c r="W91" s="4" t="str">
        <x:v>変更/障害時に追試</x:v>
      </x:c>
      <x:c r="X91" s="4" t="str">
        <x:v>未確認の全件を必須にはしない。変更範囲・重大度・障害発生に応じて選択。</x:v>
      </x:c>
      <x:c r="Y91" s="4" t="str">
        <x:v>A1 最優先</x:v>
      </x:c>
      <x:c r="Z91" s="4" t="str">
        <x:v>実機ログイン・切替ドライバー＋ユーザー別キューハッシュ／機密ログ検査。秘密はログに出さない。</x:v>
      </x:c>
    </x:row>
    <x:row r="92" ht="105" customHeight="1">
      <x:c r="A92" s="6" t="n">
        <x:v>85</x:v>
      </x:c>
      <x:c r="B92" s="4" t="str">
        <x:v>08 認証・ユーザー切替</x:v>
      </x:c>
      <x:c r="C92" s="4" t="str">
        <x:v>失敗</x:v>
      </x:c>
      <x:c r="D92" s="4" t="str">
        <x:v>通信不能時のログイン</x:v>
      </x:c>
      <x:c r="E92" s="4" t="str">
        <x:v>通信失敗を案内し、認証キャッシュやキューを勝手に削除しない。</x:v>
      </x:c>
      <x:c r="F92" s="4" t="str">
        <x:v>手動実機テスト</x:v>
      </x:c>
      <x:c r="G92" s="7" t="str">
        <x:v>共通</x:v>
      </x:c>
      <x:c r="H92" s="7" t="str">
        <x:v>P0</x:v>
      </x:c>
      <x:c r="I92" s="4" t="str">
        <x:v>標準環境S1</x:v>
      </x:c>
      <x:c r="J92" s="4" t="str">
        <x:v>通信断でログインを1回試し、復帰後に正しい認証を行う。</x:v>
      </x:c>
      <x:c r="K92" s="4" t="str">
        <x:v>同じ操作を両OSで個別に実施</x:v>
      </x:c>
      <x:c r="L92" s="29" t="str">
        <x:v>未実施</x:v>
      </x:c>
      <x:c r="M92" s="29" t="str">
        <x:v>未実施</x:v>
      </x:c>
      <x:c r="N92" s="30" t="str">
        <x:v>現行ビルドで当該手順の実施証跡なし。過去結果と参考試験は右欄。</x:v>
      </x:c>
      <x:c r="O92" s="30" t="str">
        <x:v>現行ビルドで当該手順の実施証跡なし。過去結果と参考試験は右欄。</x:v>
      </x:c>
      <x:c r="P92" s="30" t="str">
        <x:v>E09 / E19</x:v>
      </x:c>
      <x:c r="Q92" s="4" t="str">
        <x:v>画面観察・録画＋操作時刻・端末ログ／読取APIを照合。</x:v>
      </x:c>
      <x:c r="R92" s="4" t="str">
        <x:v>認証診断4単体試験で成功/MFA/例外保持・秘密除外・上限・障害分離。通常版の実ログイン失敗を再現した試験ではない。 [E09,E19]</x:v>
      </x:c>
      <x:c r="S92" s="4" t="str">
        <x:v>API/ローカルのみ</x:v>
      </x:c>
      <x:c r="T92" s="4" t="str">
        <x:v>API/ローカルのみ</x:v>
      </x:c>
      <x:c r="U92" s="4" t="str">
        <x:v>該当する過去の実機証跡を今回特定できず。未実施と断定せず未確認。</x:v>
      </x:c>
      <x:c r="V92" s="4" t="str">
        <x:v>該当する過去の実機証跡を今回特定できず。未実施と断定せず未確認。</x:v>
      </x:c>
      <x:c r="W92" s="4" t="str">
        <x:v>変更/障害時に追試</x:v>
      </x:c>
      <x:c r="X92" s="4" t="str">
        <x:v>未確認の全件を必須にはしない。変更範囲・重大度・障害発生に応じて選択。</x:v>
      </x:c>
      <x:c r="Y92" s="4" t="str">
        <x:v>A1 最優先</x:v>
      </x:c>
      <x:c r="Z92" s="4" t="str">
        <x:v>実機ログイン・切替ドライバー＋ユーザー別キューハッシュ／機密ログ検査。秘密はログに出さない。</x:v>
      </x:c>
    </x:row>
    <x:row r="93" ht="105" customHeight="1">
      <x:c r="A93" s="6" t="n">
        <x:v>86</x:v>
      </x:c>
      <x:c r="B93" s="4" t="str">
        <x:v>08 認証・ユーザー切替</x:v>
      </x:c>
      <x:c r="C93" s="4" t="str">
        <x:v>診断</x:v>
      </x:c>
      <x:c r="D93" s="4" t="str">
        <x:v>最小限の失敗診断と秘匿</x:v>
      </x:c>
      <x:c r="E93" s="4" t="str">
        <x:v>種別・段階等を識別でき、パスワード・トークン・認証コードを出力しない。</x:v>
      </x:c>
      <x:c r="F93" s="4" t="str">
        <x:v>自動実機テスト</x:v>
      </x:c>
      <x:c r="G93" s="7" t="str">
        <x:v>共通</x:v>
      </x:c>
      <x:c r="H93" s="7" t="str">
        <x:v>P0</x:v>
      </x:c>
      <x:c r="I93" s="4" t="str">
        <x:v>S2＋ログ読取</x:v>
      </x:c>
      <x:c r="J93" s="4" t="str">
        <x:v>失敗後に許可されたログを確認する。</x:v>
      </x:c>
      <x:c r="K93" s="4" t="str">
        <x:v>同じ操作を両OSで個別に実施</x:v>
      </x:c>
      <x:c r="L93" s="29" t="str">
        <x:v>未実施</x:v>
      </x:c>
      <x:c r="M93" s="29" t="str">
        <x:v>未実施</x:v>
      </x:c>
      <x:c r="N93" s="30" t="str">
        <x:v>現行ビルドで当該手順の実施証跡なし。過去結果と参考試験は右欄。</x:v>
      </x:c>
      <x:c r="O93" s="30" t="str">
        <x:v>現行ビルドで当該手順の実施証跡なし。過去結果と参考試験は右欄。</x:v>
      </x:c>
      <x:c r="P93" s="30" t="str">
        <x:v>E09 / E19</x:v>
      </x:c>
      <x:c r="Q93" s="4" t="str">
        <x:v>実機UI操作＋読取API／端末ログ照合。専用ドライバー整備後に実施。</x:v>
      </x:c>
      <x:c r="R93" s="4" t="str">
        <x:v>認証診断4単体試験で成功/MFA/例外保持・秘密除外・上限・障害分離。通常版の実ログイン失敗を再現した試験ではない。 [E09,E19]</x:v>
      </x:c>
      <x:c r="S93" s="4" t="str">
        <x:v>API/ローカルのみ</x:v>
      </x:c>
      <x:c r="T93" s="4" t="str">
        <x:v>API/ローカルのみ</x:v>
      </x:c>
      <x:c r="U93" s="4" t="str">
        <x:v>該当する過去の実機証跡を今回特定できず。未実施と断定せず未確認。</x:v>
      </x:c>
      <x:c r="V93" s="4" t="str">
        <x:v>該当する過去の実機証跡を今回特定できず。未実施と断定せず未確認。</x:v>
      </x:c>
      <x:c r="W93" s="4" t="str">
        <x:v>変更/障害時に追試</x:v>
      </x:c>
      <x:c r="X93" s="4" t="str">
        <x:v>未確認の全件を必須にはしない。変更範囲・重大度・障害発生に応じて選択。</x:v>
      </x:c>
      <x:c r="Y93" s="4" t="str">
        <x:v>A1 最優先</x:v>
      </x:c>
      <x:c r="Z93" s="4" t="str">
        <x:v>実機ログイン・切替ドライバー＋ユーザー別キューハッシュ／機密ログ検査。秘密はログに出さない。</x:v>
      </x:c>
    </x:row>
    <x:row r="94" ht="105" customHeight="1">
      <x:c r="A94" s="6" t="n">
        <x:v>87</x:v>
      </x:c>
      <x:c r="B94" s="4" t="str">
        <x:v>08 認証・ユーザー切替</x:v>
      </x:c>
      <x:c r="C94" s="4" t="str">
        <x:v>回避</x:v>
      </x:c>
      <x:c r="D94" s="4" t="str">
        <x:v>ログイン失敗後の安全な再起動</x:v>
      </x:c>
      <x:c r="E94" s="4" t="str">
        <x:v>データ消去・再インストールなしで再試行でき、保存済み・未送信を保持する。</x:v>
      </x:c>
      <x:c r="F94" s="4" t="str">
        <x:v>手動実機テスト</x:v>
      </x:c>
      <x:c r="G94" s="7" t="str">
        <x:v>共通</x:v>
      </x:c>
      <x:c r="H94" s="7" t="str">
        <x:v>P0</x:v>
      </x:c>
      <x:c r="I94" s="4" t="str">
        <x:v>標準環境S1</x:v>
      </x:c>
      <x:c r="J94" s="4" t="str">
        <x:v>失敗状態で記録・共有の停止を確認してアプリだけ開き直し、再ログイン。</x:v>
      </x:c>
      <x:c r="K94" s="4" t="str">
        <x:v>同じ操作を両OSで個別に実施</x:v>
      </x:c>
      <x:c r="L94" s="29" t="str">
        <x:v>未実施</x:v>
      </x:c>
      <x:c r="M94" s="29" t="str">
        <x:v>未実施</x:v>
      </x:c>
      <x:c r="N94" s="30" t="str">
        <x:v>現行ビルドで当該手順の実施証跡なし。過去結果と参考試験は右欄。</x:v>
      </x:c>
      <x:c r="O94" s="30" t="str">
        <x:v>現行ビルドで当該手順の実施証跡なし。過去結果と参考試験は右欄。</x:v>
      </x:c>
      <x:c r="P94" s="30" t="str">
        <x:v>E09 / E19</x:v>
      </x:c>
      <x:c r="Q94" s="4" t="str">
        <x:v>画面観察・録画＋操作時刻・端末ログ／読取APIを照合。</x:v>
      </x:c>
      <x:c r="R94" s="4" t="str">
        <x:v>認証診断4単体試験で成功/MFA/例外保持・秘密除外・上限・障害分離。通常版の実ログイン失敗を再現した試験ではない。 [E09,E19]</x:v>
      </x:c>
      <x:c r="S94" s="4" t="str">
        <x:v>API/ローカルのみ</x:v>
      </x:c>
      <x:c r="T94" s="4" t="str">
        <x:v>API/ローカルのみ</x:v>
      </x:c>
      <x:c r="U94" s="4" t="str">
        <x:v>該当する過去の実機証跡を今回特定できず。未実施と断定せず未確認。</x:v>
      </x:c>
      <x:c r="V94" s="4" t="str">
        <x:v>該当する過去の実機証跡を今回特定できず。未実施と断定せず未確認。</x:v>
      </x:c>
      <x:c r="W94" s="4" t="str">
        <x:v>変更/障害時に追試</x:v>
      </x:c>
      <x:c r="X94" s="4" t="str">
        <x:v>未確認の全件を必須にはしない。変更範囲・重大度・障害発生に応じて選択。</x:v>
      </x:c>
      <x:c r="Y94" s="4" t="str">
        <x:v>A1 最優先</x:v>
      </x:c>
      <x:c r="Z94" s="4" t="str">
        <x:v>実機ログイン・切替ドライバー＋ユーザー別キューハッシュ／機密ログ検査。秘密はログに出さない。</x:v>
      </x:c>
    </x:row>
    <x:row r="95" ht="105" customHeight="1">
      <x:c r="A95" s="6" t="n">
        <x:v>88</x:v>
      </x:c>
      <x:c r="B95" s="4" t="str">
        <x:v>08 認証・ユーザー切替</x:v>
      </x:c>
      <x:c r="C95" s="4" t="str">
        <x:v>パスワード</x:v>
      </x:c>
      <x:c r="D95" s="4" t="str">
        <x:v>再設定フローの表示と復帰</x:v>
      </x:c>
      <x:c r="E95" s="4" t="str">
        <x:v>再設定画面から安全に戻れ、既存ログイン情報とデータを変更しない。</x:v>
      </x:c>
      <x:c r="F95" s="4" t="str">
        <x:v>手動実機テスト</x:v>
      </x:c>
      <x:c r="G95" s="7" t="str">
        <x:v>共通</x:v>
      </x:c>
      <x:c r="H95" s="7" t="str">
        <x:v>P1</x:v>
      </x:c>
      <x:c r="I95" s="4" t="str">
        <x:v>標準環境S1</x:v>
      </x:c>
      <x:c r="J95" s="4" t="str">
        <x:v>専用アカウントで「パスワードをお忘れですか」を開き、入力を取消す。</x:v>
      </x:c>
      <x:c r="K95" s="4" t="str">
        <x:v>同じ操作を両OSで個別に実施</x:v>
      </x:c>
      <x:c r="L95" s="29" t="str">
        <x:v>未実施</x:v>
      </x:c>
      <x:c r="M95" s="29" t="str">
        <x:v>未実施</x:v>
      </x:c>
      <x:c r="N95" s="30" t="str">
        <x:v>現行ビルドで当該手順の実施証跡なし。過去結果と参考試験は右欄。</x:v>
      </x:c>
      <x:c r="O95" s="30" t="str">
        <x:v>現行ビルドで当該手順の実施証跡なし。過去結果と参考試験は右欄。</x:v>
      </x:c>
      <x:c r="P95" s="30" t="str">
        <x:v>未採番：該当証跡未特定</x:v>
      </x:c>
      <x:c r="Q95" s="4" t="str">
        <x:v>画面観察・録画＋操作時刻・端末ログ／読取APIを照合。</x:v>
      </x:c>
      <x:c r="R95" s="4" t="str">
        <x:v>評価は対象の現行ビルドだけ。旧版/検証版結果を現行OKへ繰り上げない。</x:v>
      </x:c>
      <x:c r="S95" s="4" t="str">
        <x:v>未確認</x:v>
      </x:c>
      <x:c r="T95" s="4" t="str">
        <x:v>未確認</x:v>
      </x:c>
      <x:c r="U95" s="4" t="str">
        <x:v>該当する過去の実機証跡を今回特定できず。未実施と断定せず未確認。</x:v>
      </x:c>
      <x:c r="V95" s="4" t="str">
        <x:v>該当する過去の実機証跡を今回特定できず。未実施と断定せず未確認。</x:v>
      </x:c>
      <x:c r="W95" s="4" t="str">
        <x:v>通常回帰・未確認</x:v>
      </x:c>
      <x:c r="X95" s="4" t="str">
        <x:v>未確認の全件を必須にはしない。変更範囲・重大度・障害発生に応じて選択。</x:v>
      </x:c>
      <x:c r="Y95" s="4" t="str">
        <x:v>手動中心</x:v>
      </x:c>
      <x:c r="Z95" s="4" t="str">
        <x:v>実移動・権限ダイアログ・課金確認は手動。ログ/時刻/件数収集と比較を補助自動化。</x:v>
      </x:c>
    </x:row>
    <x:row r="96" ht="105" customHeight="1">
      <x:c r="A96" s="6" t="n">
        <x:v>89</x:v>
      </x:c>
      <x:c r="B96" s="4" t="str">
        <x:v>08 認証・ユーザー切替</x:v>
      </x:c>
      <x:c r="C96" s="4" t="str">
        <x:v>新規登録</x:v>
      </x:c>
      <x:c r="D96" s="4" t="str">
        <x:v>専用アカウント登録と確認</x:v>
      </x:c>
      <x:c r="E96" s="4" t="str">
        <x:v>本人確認後に自分の空履歴で開始し、他者のデータが見えない。</x:v>
      </x:c>
      <x:c r="F96" s="4" t="str">
        <x:v>手動実機テスト</x:v>
      </x:c>
      <x:c r="G96" s="7" t="str">
        <x:v>共通</x:v>
      </x:c>
      <x:c r="H96" s="7" t="str">
        <x:v>P1</x:v>
      </x:c>
      <x:c r="I96" s="4" t="str">
        <x:v>隔離環境・専用メール。利用規約は実施者が確認</x:v>
      </x:c>
      <x:c r="J96" s="4" t="str">
        <x:v>隔離環境で新規専用メールを用いて登録・確認する。</x:v>
      </x:c>
      <x:c r="K96" s="4" t="str">
        <x:v>同じ操作を両OSで個別に実施</x:v>
      </x:c>
      <x:c r="L96" s="29" t="str">
        <x:v>未実施</x:v>
      </x:c>
      <x:c r="M96" s="29" t="str">
        <x:v>未実施</x:v>
      </x:c>
      <x:c r="N96" s="30" t="str">
        <x:v>現行ビルドで当該手順の実施証跡なし。過去結果と参考試験は右欄。</x:v>
      </x:c>
      <x:c r="O96" s="30" t="str">
        <x:v>現行ビルドで当該手順の実施証跡なし。過去結果と参考試験は右欄。</x:v>
      </x:c>
      <x:c r="P96" s="30" t="str">
        <x:v>未採番：該当証跡未特定</x:v>
      </x:c>
      <x:c r="Q96" s="4" t="str">
        <x:v>画面観察・録画＋操作時刻・端末ログ／読取APIを照合。</x:v>
      </x:c>
      <x:c r="R96" s="4" t="str">
        <x:v>評価は対象の現行ビルドだけ。旧版/検証版結果を現行OKへ繰り上げない。</x:v>
      </x:c>
      <x:c r="S96" s="4" t="str">
        <x:v>未確認</x:v>
      </x:c>
      <x:c r="T96" s="4" t="str">
        <x:v>未確認</x:v>
      </x:c>
      <x:c r="U96" s="4" t="str">
        <x:v>該当する過去の実機証跡を今回特定できず。未実施と断定せず未確認。</x:v>
      </x:c>
      <x:c r="V96" s="4" t="str">
        <x:v>該当する過去の実機証跡を今回特定できず。未実施と断定せず未確認。</x:v>
      </x:c>
      <x:c r="W96" s="4" t="str">
        <x:v>通常回帰・未確認</x:v>
      </x:c>
      <x:c r="X96" s="4" t="str">
        <x:v>未確認の全件を必須にはしない。変更範囲・重大度・障害発生に応じて選択。</x:v>
      </x:c>
      <x:c r="Y96" s="4" t="str">
        <x:v>手動中心</x:v>
      </x:c>
      <x:c r="Z96" s="4" t="str">
        <x:v>実移動・権限ダイアログ・課金確認は手動。ログ/時刻/件数収集と比較を補助自動化。</x:v>
      </x:c>
    </x:row>
    <x:row r="97" ht="105" customHeight="1">
      <x:c r="A97" s="9" t="n">
        <x:v>90</x:v>
      </x:c>
      <x:c r="B97" s="10" t="str">
        <x:v>09 プラン・課金</x:v>
      </x:c>
      <x:c r="C97" s="10" t="str">
        <x:v>FREE</x:v>
      </x:c>
      <x:c r="D97" s="10" t="str">
        <x:v>設定下限の制限</x:v>
      </x:c>
      <x:c r="E97" s="10" t="str">
        <x:v>FREEは30秒・50m以上を利用でき、Premium専用設定は利用できない。</x:v>
      </x:c>
      <x:c r="F97" s="10" t="str">
        <x:v>自動実機テスト</x:v>
      </x:c>
      <x:c r="G97" s="11" t="str">
        <x:v>共通</x:v>
      </x:c>
      <x:c r="H97" s="11" t="str">
        <x:v>P1</x:v>
      </x:c>
      <x:c r="I97" s="10" t="str">
        <x:v>FREE専用アカウント</x:v>
      </x:c>
      <x:c r="J97" s="10" t="str">
        <x:v>FREEで10秒・10mを選ぼうとし、30秒・50mも確認。</x:v>
      </x:c>
      <x:c r="K97" s="10" t="str">
        <x:v>同じ操作を両OSで個別に実施</x:v>
      </x:c>
      <x:c r="L97" s="29" t="str">
        <x:v>未実施</x:v>
      </x:c>
      <x:c r="M97" s="29" t="str">
        <x:v>未実施</x:v>
      </x:c>
      <x:c r="N97" s="30" t="str">
        <x:v>現行ビルドで当該手順の実施証跡なし。過去結果と参考試験は右欄。</x:v>
      </x:c>
      <x:c r="O97" s="30" t="str">
        <x:v>現行ビルドで当該手順の実施証跡なし。過去結果と参考試験は右欄。</x:v>
      </x:c>
      <x:c r="P97" s="30" t="str">
        <x:v>未採番：該当証跡未特定</x:v>
      </x:c>
      <x:c r="Q97" s="4" t="str">
        <x:v>実機UI操作＋読取API／端末ログ照合。専用ドライバー整備後に実施。</x:v>
      </x:c>
      <x:c r="R97" s="4" t="str">
        <x:v>評価は対象の現行ビルドだけ。旧版/検証版結果を現行OKへ繰り上げない。</x:v>
      </x:c>
      <x:c r="S97" s="4" t="str">
        <x:v>未確認</x:v>
      </x:c>
      <x:c r="T97" s="4" t="str">
        <x:v>未確認</x:v>
      </x:c>
      <x:c r="U97" s="4" t="str">
        <x:v>該当する過去の実機証跡を今回特定できず。未実施と断定せず未確認。</x:v>
      </x:c>
      <x:c r="V97" s="4" t="str">
        <x:v>該当する過去の実機証跡を今回特定できず。未実施と断定せず未確認。</x:v>
      </x:c>
      <x:c r="W97" s="4" t="str">
        <x:v>変更/障害時に追試</x:v>
      </x:c>
      <x:c r="X97" s="4" t="str">
        <x:v>未確認の全件を必須にはしない。変更範囲・重大度・障害発生に応じて選択。</x:v>
      </x:c>
      <x:c r="Y97" s="4" t="str">
        <x:v>A2 次優先</x:v>
      </x:c>
      <x:c r="Z97" s="4" t="str">
        <x:v>安定した実機UIドライバーとfixtureを整備し、対象OSの評価欄へ証跡付きで記録。</x:v>
      </x:c>
    </x:row>
    <x:row r="98" ht="105" customHeight="1">
      <x:c r="A98" s="6" t="n">
        <x:v>91</x:v>
      </x:c>
      <x:c r="B98" s="4" t="str">
        <x:v>09 プラン・課金</x:v>
      </x:c>
      <x:c r="C98" s="4" t="str">
        <x:v>Premium</x:v>
      </x:c>
      <x:c r="D98" s="4" t="str">
        <x:v>短い設定の利用</x:v>
      </x:c>
      <x:c r="E98" s="4" t="str">
        <x:v>選択が有効で、FREEへ戻った場合は許可範囲へ補正される。</x:v>
      </x:c>
      <x:c r="F98" s="4" t="str">
        <x:v>自動実機テスト</x:v>
      </x:c>
      <x:c r="G98" s="7" t="str">
        <x:v>共通</x:v>
      </x:c>
      <x:c r="H98" s="7" t="str">
        <x:v>P1</x:v>
      </x:c>
      <x:c r="I98" s="4" t="str">
        <x:v>Premium専用アカウント</x:v>
      </x:c>
      <x:c r="J98" s="4" t="str">
        <x:v>Premiumで10秒・10mを選択し再表示する。</x:v>
      </x:c>
      <x:c r="K98" s="4" t="str">
        <x:v>同じ操作を両OSで個別に実施</x:v>
      </x:c>
      <x:c r="L98" s="29" t="str">
        <x:v>未実施</x:v>
      </x:c>
      <x:c r="M98" s="29" t="str">
        <x:v>未実施</x:v>
      </x:c>
      <x:c r="N98" s="30" t="str">
        <x:v>現行ビルドで当該手順の実施証跡なし。過去結果と参考試験は右欄。</x:v>
      </x:c>
      <x:c r="O98" s="30" t="str">
        <x:v>現行ビルドで当該手順の実施証跡なし。過去結果と参考試験は右欄。</x:v>
      </x:c>
      <x:c r="P98" s="30" t="str">
        <x:v>未採番：該当証跡未特定</x:v>
      </x:c>
      <x:c r="Q98" s="4" t="str">
        <x:v>実機UI操作＋読取API／端末ログ照合。専用ドライバー整備後に実施。</x:v>
      </x:c>
      <x:c r="R98" s="4" t="str">
        <x:v>評価は対象の現行ビルドだけ。旧版/検証版結果を現行OKへ繰り上げない。</x:v>
      </x:c>
      <x:c r="S98" s="4" t="str">
        <x:v>未確認</x:v>
      </x:c>
      <x:c r="T98" s="4" t="str">
        <x:v>未確認</x:v>
      </x:c>
      <x:c r="U98" s="4" t="str">
        <x:v>該当する過去の実機証跡を今回特定できず。未実施と断定せず未確認。</x:v>
      </x:c>
      <x:c r="V98" s="4" t="str">
        <x:v>該当する過去の実機証跡を今回特定できず。未実施と断定せず未確認。</x:v>
      </x:c>
      <x:c r="W98" s="4" t="str">
        <x:v>変更/障害時に追試</x:v>
      </x:c>
      <x:c r="X98" s="4" t="str">
        <x:v>未確認の全件を必須にはしない。変更範囲・重大度・障害発生に応じて選択。</x:v>
      </x:c>
      <x:c r="Y98" s="4" t="str">
        <x:v>A2 次優先</x:v>
      </x:c>
      <x:c r="Z98" s="4" t="str">
        <x:v>安定した実機UIドライバーとfixtureを整備し、対象OSの評価欄へ証跡付きで記録。</x:v>
      </x:c>
    </x:row>
    <x:row r="99" ht="105" customHeight="1">
      <x:c r="A99" s="6" t="n">
        <x:v>92</x:v>
      </x:c>
      <x:c r="B99" s="4" t="str">
        <x:v>09 プラン・課金</x:v>
      </x:c>
      <x:c r="C99" s="4" t="str">
        <x:v>FREE</x:v>
      </x:c>
      <x:c r="D99" s="4" t="str">
        <x:v>月間件数29・30件境界</x:v>
      </x:c>
      <x:c r="E99" s="4" t="str">
        <x:v>29件では開始可、30件では上限案内。別月のデータを数えない。</x:v>
      </x:c>
      <x:c r="F99" s="4" t="str">
        <x:v>自動実機テスト</x:v>
      </x:c>
      <x:c r="G99" s="7" t="str">
        <x:v>共通</x:v>
      </x:c>
      <x:c r="H99" s="7" t="str">
        <x:v>P1</x:v>
      </x:c>
      <x:c r="I99" s="4" t="str">
        <x:v>S2＋月間境界fixture</x:v>
      </x:c>
      <x:c r="J99" s="4" t="str">
        <x:v>専用fixtureで29件から開始・保存し、30件で再開始を試す。</x:v>
      </x:c>
      <x:c r="K99" s="4" t="str">
        <x:v>同じ操作を両OSで個別に実施</x:v>
      </x:c>
      <x:c r="L99" s="29" t="str">
        <x:v>未実施</x:v>
      </x:c>
      <x:c r="M99" s="29" t="str">
        <x:v>未実施</x:v>
      </x:c>
      <x:c r="N99" s="30" t="str">
        <x:v>現行ビルドで当該手順の実施証跡なし。過去結果と参考試験は右欄。</x:v>
      </x:c>
      <x:c r="O99" s="30" t="str">
        <x:v>現行ビルドで当該手順の実施証跡なし。過去結果と参考試験は右欄。</x:v>
      </x:c>
      <x:c r="P99" s="30" t="str">
        <x:v>未採番：該当証跡未特定</x:v>
      </x:c>
      <x:c r="Q99" s="4" t="str">
        <x:v>実機UI操作＋読取API／端末ログ照合。専用ドライバー整備後に実施。</x:v>
      </x:c>
      <x:c r="R99" s="4" t="str">
        <x:v>評価は対象の現行ビルドだけ。旧版/検証版結果を現行OKへ繰り上げない。</x:v>
      </x:c>
      <x:c r="S99" s="4" t="str">
        <x:v>未確認</x:v>
      </x:c>
      <x:c r="T99" s="4" t="str">
        <x:v>未確認</x:v>
      </x:c>
      <x:c r="U99" s="4" t="str">
        <x:v>該当する過去の実機証跡を今回特定できず。未実施と断定せず未確認。</x:v>
      </x:c>
      <x:c r="V99" s="4" t="str">
        <x:v>該当する過去の実機証跡を今回特定できず。未実施と断定せず未確認。</x:v>
      </x:c>
      <x:c r="W99" s="4" t="str">
        <x:v>変更/障害時に追試</x:v>
      </x:c>
      <x:c r="X99" s="4" t="str">
        <x:v>未確認の全件を必須にはしない。変更範囲・重大度・障害発生に応じて選択。</x:v>
      </x:c>
      <x:c r="Y99" s="4" t="str">
        <x:v>A2 次優先</x:v>
      </x:c>
      <x:c r="Z99" s="4" t="str">
        <x:v>安定した実機UIドライバーとfixtureを整備し、対象OSの評価欄へ証跡付きで記録。</x:v>
      </x:c>
    </x:row>
    <x:row r="100" ht="105" customHeight="1">
      <x:c r="A100" s="6" t="n">
        <x:v>93</x:v>
      </x:c>
      <x:c r="B100" s="4" t="str">
        <x:v>09 プラン・課金</x:v>
      </x:c>
      <x:c r="C100" s="4" t="str">
        <x:v>FREE</x:v>
      </x:c>
      <x:c r="D100" s="4" t="str">
        <x:v>地点数1000件上限</x:v>
      </x:c>
      <x:c r="E100" s="4" t="str">
        <x:v>1000件上限に対応した停止・確定となり、未確定データを失わない。</x:v>
      </x:c>
      <x:c r="F100" s="4" t="str">
        <x:v>自動実機テスト</x:v>
      </x:c>
      <x:c r="G100" s="7" t="str">
        <x:v>共通</x:v>
      </x:c>
      <x:c r="H100" s="7" t="str">
        <x:v>P1</x:v>
      </x:c>
      <x:c r="I100" s="4" t="str">
        <x:v>S2＋地点境界fixture</x:v>
      </x:c>
      <x:c r="J100" s="4" t="str">
        <x:v>999件の専用fixtureから上限を跨ぎ、停止・保存へ進む。</x:v>
      </x:c>
      <x:c r="K100" s="4" t="str">
        <x:v>同じ操作を両OSで個別に実施</x:v>
      </x:c>
      <x:c r="L100" s="29" t="str">
        <x:v>未実施</x:v>
      </x:c>
      <x:c r="M100" s="29" t="str">
        <x:v>未実施</x:v>
      </x:c>
      <x:c r="N100" s="30" t="str">
        <x:v>現行ビルドで当該手順の実施証跡なし。過去結果と参考試験は右欄。</x:v>
      </x:c>
      <x:c r="O100" s="30" t="str">
        <x:v>現行ビルドで当該手順の実施証跡なし。過去結果と参考試験は右欄。</x:v>
      </x:c>
      <x:c r="P100" s="30" t="str">
        <x:v>未採番：該当証跡未特定</x:v>
      </x:c>
      <x:c r="Q100" s="4" t="str">
        <x:v>実機UI操作＋読取API／端末ログ照合。専用ドライバー整備後に実施。</x:v>
      </x:c>
      <x:c r="R100" s="4" t="str">
        <x:v>評価は対象の現行ビルドだけ。旧版/検証版結果を現行OKへ繰り上げない。</x:v>
      </x:c>
      <x:c r="S100" s="4" t="str">
        <x:v>未確認</x:v>
      </x:c>
      <x:c r="T100" s="4" t="str">
        <x:v>未確認</x:v>
      </x:c>
      <x:c r="U100" s="4" t="str">
        <x:v>該当する過去の実機証跡を今回特定できず。未実施と断定せず未確認。</x:v>
      </x:c>
      <x:c r="V100" s="4" t="str">
        <x:v>該当する過去の実機証跡を今回特定できず。未実施と断定せず未確認。</x:v>
      </x:c>
      <x:c r="W100" s="4" t="str">
        <x:v>変更/障害時に追試</x:v>
      </x:c>
      <x:c r="X100" s="4" t="str">
        <x:v>未確認の全件を必須にはしない。変更範囲・重大度・障害発生に応じて選択。</x:v>
      </x:c>
      <x:c r="Y100" s="4" t="str">
        <x:v>A2 次優先</x:v>
      </x:c>
      <x:c r="Z100" s="4" t="str">
        <x:v>安定した実機UIドライバーとfixtureを整備し、対象OSの評価欄へ証跡付きで記録。</x:v>
      </x:c>
    </x:row>
    <x:row r="101" ht="105" customHeight="1">
      <x:c r="A101" s="6" t="n">
        <x:v>94</x:v>
      </x:c>
      <x:c r="B101" s="4" t="str">
        <x:v>09 プラン・課金</x:v>
      </x:c>
      <x:c r="C101" s="4" t="str">
        <x:v>グループ上限</x:v>
      </x:c>
      <x:c r="D101" s="4" t="str">
        <x:v>FREEの作成数・人数上限</x:v>
      </x:c>
      <x:c r="E101" s="4" t="str">
        <x:v>上限を超えて作成・参加できず、既存メンバーは保持される。</x:v>
      </x:c>
      <x:c r="F101" s="4" t="str">
        <x:v>自動実機テスト</x:v>
      </x:c>
      <x:c r="G101" s="7" t="str">
        <x:v>共通</x:v>
      </x:c>
      <x:c r="H101" s="7" t="str">
        <x:v>P1</x:v>
      </x:c>
      <x:c r="I101" s="4" t="str">
        <x:v>S2＋人数fixture</x:v>
      </x:c>
      <x:c r="J101" s="4" t="str">
        <x:v>FREEで2グループ・所有者含め5人の境界を試す。</x:v>
      </x:c>
      <x:c r="K101" s="4" t="str">
        <x:v>同じ操作を両OSで個別に実施</x:v>
      </x:c>
      <x:c r="L101" s="29" t="str">
        <x:v>未実施</x:v>
      </x:c>
      <x:c r="M101" s="29" t="str">
        <x:v>未実施</x:v>
      </x:c>
      <x:c r="N101" s="30" t="str">
        <x:v>現行ビルドで当該手順の実施証跡なし。過去結果と参考試験は右欄。</x:v>
      </x:c>
      <x:c r="O101" s="30" t="str">
        <x:v>現行ビルドで当該手順の実施証跡なし。過去結果と参考試験は右欄。</x:v>
      </x:c>
      <x:c r="P101" s="30" t="str">
        <x:v>未採番：該当証跡未特定</x:v>
      </x:c>
      <x:c r="Q101" s="4" t="str">
        <x:v>実機UI操作＋読取API／端末ログ照合。専用ドライバー整備後に実施。</x:v>
      </x:c>
      <x:c r="R101" s="4" t="str">
        <x:v>評価は対象の現行ビルドだけ。旧版/検証版結果を現行OKへ繰り上げない。</x:v>
      </x:c>
      <x:c r="S101" s="4" t="str">
        <x:v>未確認</x:v>
      </x:c>
      <x:c r="T101" s="4" t="str">
        <x:v>未確認</x:v>
      </x:c>
      <x:c r="U101" s="4" t="str">
        <x:v>該当する過去の実機証跡を今回特定できず。未実施と断定せず未確認。</x:v>
      </x:c>
      <x:c r="V101" s="4" t="str">
        <x:v>該当する過去の実機証跡を今回特定できず。未実施と断定せず未確認。</x:v>
      </x:c>
      <x:c r="W101" s="4" t="str">
        <x:v>変更/障害時に追試</x:v>
      </x:c>
      <x:c r="X101" s="4" t="str">
        <x:v>未確認の全件を必須にはしない。変更範囲・重大度・障害発生に応じて選択。</x:v>
      </x:c>
      <x:c r="Y101" s="4" t="str">
        <x:v>A2 次優先</x:v>
      </x:c>
      <x:c r="Z101" s="4" t="str">
        <x:v>安定した実機UIドライバーとfixtureを整備し、対象OSの評価欄へ証跡付きで記録。</x:v>
      </x:c>
    </x:row>
    <x:row r="102" ht="105" customHeight="1">
      <x:c r="A102" s="6" t="n">
        <x:v>95</x:v>
      </x:c>
      <x:c r="B102" s="4" t="str">
        <x:v>09 プラン・課金</x:v>
      </x:c>
      <x:c r="C102" s="4" t="str">
        <x:v>購入</x:v>
      </x:c>
      <x:c r="D102" s="4" t="str">
        <x:v>Premium購入成功</x:v>
      </x:c>
      <x:c r="E102" s="4" t="str">
        <x:v>購入した専用ユーザーへPremiumが反映し、再起動後も維持される。</x:v>
      </x:c>
      <x:c r="F102" s="4" t="str">
        <x:v>手動実機テスト</x:v>
      </x:c>
      <x:c r="G102" s="7" t="str">
        <x:v>共通</x:v>
      </x:c>
      <x:c r="H102" s="7" t="str">
        <x:v>P1</x:v>
      </x:c>
      <x:c r="I102" s="4" t="str">
        <x:v>S4：ストアのテスト購入環境。実課金なし</x:v>
      </x:c>
      <x:c r="J102" s="4" t="str">
        <x:v>OS公式の課金サンドボックスで購入を完了し再起動する。</x:v>
      </x:c>
      <x:c r="K102" s="4" t="str">
        <x:v>iOSはStoreKit、AndroidはPlayテスト購入を使用</x:v>
      </x:c>
      <x:c r="L102" s="29" t="str">
        <x:v>未実施</x:v>
      </x:c>
      <x:c r="M102" s="29" t="str">
        <x:v>未実施</x:v>
      </x:c>
      <x:c r="N102" s="30" t="str">
        <x:v>現行ビルドで当該手順の実施証跡なし。過去結果と参考試験は右欄。</x:v>
      </x:c>
      <x:c r="O102" s="30" t="str">
        <x:v>現行ビルドで当該手順の実施証跡なし。過去結果と参考試験は右欄。</x:v>
      </x:c>
      <x:c r="P102" s="30" t="str">
        <x:v>未採番：該当証跡未特定</x:v>
      </x:c>
      <x:c r="Q102" s="4" t="str">
        <x:v>画面観察・録画＋操作時刻・端末ログ／読取APIを照合。</x:v>
      </x:c>
      <x:c r="R102" s="4" t="str">
        <x:v>評価は対象の現行ビルドだけ。旧版/検証版結果を現行OKへ繰り上げない。</x:v>
      </x:c>
      <x:c r="S102" s="4" t="str">
        <x:v>未確認</x:v>
      </x:c>
      <x:c r="T102" s="4" t="str">
        <x:v>未確認</x:v>
      </x:c>
      <x:c r="U102" s="4" t="str">
        <x:v>該当する過去の実機証跡を今回特定できず。未実施と断定せず未確認。</x:v>
      </x:c>
      <x:c r="V102" s="4" t="str">
        <x:v>該当する過去の実機証跡を今回特定できず。未実施と断定せず未確認。</x:v>
      </x:c>
      <x:c r="W102" s="4" t="str">
        <x:v>通常回帰・未確認</x:v>
      </x:c>
      <x:c r="X102" s="4" t="str">
        <x:v>未確認の全件を必須にはしない。変更範囲・重大度・障害発生に応じて選択。</x:v>
      </x:c>
      <x:c r="Y102" s="4" t="str">
        <x:v>手動中心</x:v>
      </x:c>
      <x:c r="Z102" s="4" t="str">
        <x:v>実移動・権限ダイアログ・課金確認は手動。ログ/時刻/件数収集と比較を補助自動化。</x:v>
      </x:c>
    </x:row>
    <x:row r="103" ht="105" customHeight="1">
      <x:c r="A103" s="6" t="n">
        <x:v>96</x:v>
      </x:c>
      <x:c r="B103" s="4" t="str">
        <x:v>09 プラン・課金</x:v>
      </x:c>
      <x:c r="C103" s="4" t="str">
        <x:v>購入</x:v>
      </x:c>
      <x:c r="D103" s="4" t="str">
        <x:v>購入キャンセル・失敗</x:v>
      </x:c>
      <x:c r="E103" s="4" t="str">
        <x:v>権限を誤付与せず、保存データに影響なく元画面へ戻る。</x:v>
      </x:c>
      <x:c r="F103" s="4" t="str">
        <x:v>手動実機テスト</x:v>
      </x:c>
      <x:c r="G103" s="7" t="str">
        <x:v>共通</x:v>
      </x:c>
      <x:c r="H103" s="7" t="str">
        <x:v>P1</x:v>
      </x:c>
      <x:c r="I103" s="4" t="str">
        <x:v>S4</x:v>
      </x:c>
      <x:c r="J103" s="4" t="str">
        <x:v>公式購入画面でキャンセルし、失敗時も確認する。</x:v>
      </x:c>
      <x:c r="K103" s="4" t="str">
        <x:v>同じ操作を両OSで個別に実施</x:v>
      </x:c>
      <x:c r="L103" s="29" t="str">
        <x:v>未実施</x:v>
      </x:c>
      <x:c r="M103" s="29" t="str">
        <x:v>未実施</x:v>
      </x:c>
      <x:c r="N103" s="30" t="str">
        <x:v>現行ビルドで当該手順の実施証跡なし。過去結果と参考試験は右欄。</x:v>
      </x:c>
      <x:c r="O103" s="30" t="str">
        <x:v>現行ビルドで当該手順の実施証跡なし。過去結果と参考試験は右欄。</x:v>
      </x:c>
      <x:c r="P103" s="30" t="str">
        <x:v>未採番：該当証跡未特定</x:v>
      </x:c>
      <x:c r="Q103" s="4" t="str">
        <x:v>画面観察・録画＋操作時刻・端末ログ／読取APIを照合。</x:v>
      </x:c>
      <x:c r="R103" s="4" t="str">
        <x:v>評価は対象の現行ビルドだけ。旧版/検証版結果を現行OKへ繰り上げない。</x:v>
      </x:c>
      <x:c r="S103" s="4" t="str">
        <x:v>未確認</x:v>
      </x:c>
      <x:c r="T103" s="4" t="str">
        <x:v>未確認</x:v>
      </x:c>
      <x:c r="U103" s="4" t="str">
        <x:v>該当する過去の実機証跡を今回特定できず。未実施と断定せず未確認。</x:v>
      </x:c>
      <x:c r="V103" s="4" t="str">
        <x:v>該当する過去の実機証跡を今回特定できず。未実施と断定せず未確認。</x:v>
      </x:c>
      <x:c r="W103" s="4" t="str">
        <x:v>通常回帰・未確認</x:v>
      </x:c>
      <x:c r="X103" s="4" t="str">
        <x:v>未確認の全件を必須にはしない。変更範囲・重大度・障害発生に応じて選択。</x:v>
      </x:c>
      <x:c r="Y103" s="4" t="str">
        <x:v>手動中心</x:v>
      </x:c>
      <x:c r="Z103" s="4" t="str">
        <x:v>実移動・権限ダイアログ・課金確認は手動。ログ/時刻/件数収集と比較を補助自動化。</x:v>
      </x:c>
    </x:row>
    <x:row r="104" ht="105" customHeight="1">
      <x:c r="A104" s="6" t="n">
        <x:v>97</x:v>
      </x:c>
      <x:c r="B104" s="4" t="str">
        <x:v>09 プラン・課金</x:v>
      </x:c>
      <x:c r="C104" s="4" t="str">
        <x:v>購入復元</x:v>
      </x:c>
      <x:c r="D104" s="4" t="str">
        <x:v>購入情報を復元</x:v>
      </x:c>
      <x:c r="E104" s="4" t="str">
        <x:v>有効購入の権限を復元し、二重購入を要求しない。他ユーザーへ誤付与しない。</x:v>
      </x:c>
      <x:c r="F104" s="4" t="str">
        <x:v>手動実機テスト</x:v>
      </x:c>
      <x:c r="G104" s="7" t="str">
        <x:v>共通</x:v>
      </x:c>
      <x:c r="H104" s="7" t="str">
        <x:v>P1</x:v>
      </x:c>
      <x:c r="I104" s="4" t="str">
        <x:v>S4</x:v>
      </x:c>
      <x:c r="J104" s="4" t="str">
        <x:v>テスト購入済みの同じストアアカウントで「購入情報を復元」を押す。</x:v>
      </x:c>
      <x:c r="K104" s="4" t="str">
        <x:v>同じ操作を両OSで個別に実施</x:v>
      </x:c>
      <x:c r="L104" s="29" t="str">
        <x:v>未実施</x:v>
      </x:c>
      <x:c r="M104" s="29" t="str">
        <x:v>未実施</x:v>
      </x:c>
      <x:c r="N104" s="30" t="str">
        <x:v>現行ビルドで当該手順の実施証跡なし。過去結果と参考試験は右欄。</x:v>
      </x:c>
      <x:c r="O104" s="30" t="str">
        <x:v>現行ビルドで当該手順の実施証跡なし。過去結果と参考試験は右欄。</x:v>
      </x:c>
      <x:c r="P104" s="30" t="str">
        <x:v>未採番：該当証跡未特定</x:v>
      </x:c>
      <x:c r="Q104" s="4" t="str">
        <x:v>画面観察・録画＋操作時刻・端末ログ／読取APIを照合。</x:v>
      </x:c>
      <x:c r="R104" s="4" t="str">
        <x:v>評価は対象の現行ビルドだけ。旧版/検証版結果を現行OKへ繰り上げない。</x:v>
      </x:c>
      <x:c r="S104" s="4" t="str">
        <x:v>未確認</x:v>
      </x:c>
      <x:c r="T104" s="4" t="str">
        <x:v>未確認</x:v>
      </x:c>
      <x:c r="U104" s="4" t="str">
        <x:v>該当する過去の実機証跡を今回特定できず。未実施と断定せず未確認。</x:v>
      </x:c>
      <x:c r="V104" s="4" t="str">
        <x:v>該当する過去の実機証跡を今回特定できず。未実施と断定せず未確認。</x:v>
      </x:c>
      <x:c r="W104" s="4" t="str">
        <x:v>通常回帰・未確認</x:v>
      </x:c>
      <x:c r="X104" s="4" t="str">
        <x:v>未確認の全件を必須にはしない。変更範囲・重大度・障害発生に応じて選択。</x:v>
      </x:c>
      <x:c r="Y104" s="4" t="str">
        <x:v>手動中心</x:v>
      </x:c>
      <x:c r="Z104" s="4" t="str">
        <x:v>実移動・権限ダイアログ・課金確認は手動。ログ/時刻/件数収集と比較を補助自動化。</x:v>
      </x:c>
    </x:row>
    <x:row r="105" ht="105" customHeight="1">
      <x:c r="A105" s="9" t="n">
        <x:v>98</x:v>
      </x:c>
      <x:c r="B105" s="10" t="str">
        <x:v>10 プロフィール・規約・退会</x:v>
      </x:c>
      <x:c r="C105" s="10" t="str">
        <x:v>プロフィール</x:v>
      </x:c>
      <x:c r="D105" s="10" t="str">
        <x:v>表示名・体重の保存</x:v>
      </x:c>
      <x:c r="E105" s="10" t="str">
        <x:v>保存した内容を保持し、他のユーザーのプロフィールを変えない。</x:v>
      </x:c>
      <x:c r="F105" s="10" t="str">
        <x:v>自動実機テスト</x:v>
      </x:c>
      <x:c r="G105" s="11" t="str">
        <x:v>共通</x:v>
      </x:c>
      <x:c r="H105" s="11" t="str">
        <x:v>P1</x:v>
      </x:c>
      <x:c r="I105" s="10" t="str">
        <x:v>標準環境S1</x:v>
      </x:c>
      <x:c r="J105" s="10" t="str">
        <x:v>専用アカウントの表示名・有効な体重を変更し、再起動。</x:v>
      </x:c>
      <x:c r="K105" s="10" t="str">
        <x:v>同じ操作を両OSで個別に実施</x:v>
      </x:c>
      <x:c r="L105" s="29" t="str">
        <x:v>未実施</x:v>
      </x:c>
      <x:c r="M105" s="29" t="str">
        <x:v>未実施</x:v>
      </x:c>
      <x:c r="N105" s="30" t="str">
        <x:v>現行ビルドで当該手順の実施証跡なし。過去結果と参考試験は右欄。</x:v>
      </x:c>
      <x:c r="O105" s="30" t="str">
        <x:v>現行ビルドで当該手順の実施証跡なし。過去結果と参考試験は右欄。</x:v>
      </x:c>
      <x:c r="P105" s="30" t="str">
        <x:v>未採番：該当証跡未特定</x:v>
      </x:c>
      <x:c r="Q105" s="4" t="str">
        <x:v>実機UI操作＋読取API／端末ログ照合。専用ドライバー整備後に実施。</x:v>
      </x:c>
      <x:c r="R105" s="4" t="str">
        <x:v>評価は対象の現行ビルドだけ。旧版/検証版結果を現行OKへ繰り上げない。</x:v>
      </x:c>
      <x:c r="S105" s="4" t="str">
        <x:v>未確認</x:v>
      </x:c>
      <x:c r="T105" s="4" t="str">
        <x:v>未確認</x:v>
      </x:c>
      <x:c r="U105" s="4" t="str">
        <x:v>該当する過去の実機証跡を今回特定できず。未実施と断定せず未確認。</x:v>
      </x:c>
      <x:c r="V105" s="4" t="str">
        <x:v>該当する過去の実機証跡を今回特定できず。未実施と断定せず未確認。</x:v>
      </x:c>
      <x:c r="W105" s="4" t="str">
        <x:v>通常回帰・未確認</x:v>
      </x:c>
      <x:c r="X105" s="4" t="str">
        <x:v>未確認の全件を必須にはしない。変更範囲・重大度・障害発生に応じて選択。</x:v>
      </x:c>
      <x:c r="Y105" s="4" t="str">
        <x:v>A2 次優先</x:v>
      </x:c>
      <x:c r="Z105" s="4" t="str">
        <x:v>安定した実機UIドライバーとfixtureを整備し、対象OSの評価欄へ証跡付きで記録。</x:v>
      </x:c>
    </x:row>
    <x:row r="106" ht="105" customHeight="1">
      <x:c r="A106" s="6" t="n">
        <x:v>99</x:v>
      </x:c>
      <x:c r="B106" s="4" t="str">
        <x:v>10 プロフィール・規約・退会</x:v>
      </x:c>
      <x:c r="C106" s="4" t="str">
        <x:v>入力</x:v>
      </x:c>
      <x:c r="D106" s="4" t="str">
        <x:v>空の名前・不正な体重</x:v>
      </x:c>
      <x:c r="E106" s="4" t="str">
        <x:v>入力エラーまたは仕様に従った未入力処理となり、不正値を保存しない。</x:v>
      </x:c>
      <x:c r="F106" s="4" t="str">
        <x:v>自動実機テスト</x:v>
      </x:c>
      <x:c r="G106" s="7" t="str">
        <x:v>共通</x:v>
      </x:c>
      <x:c r="H106" s="7" t="str">
        <x:v>P1</x:v>
      </x:c>
      <x:c r="I106" s="4" t="str">
        <x:v>標準環境S1</x:v>
      </x:c>
      <x:c r="J106" s="4" t="str">
        <x:v>空名、負数・文字列の体重で保存を試す。</x:v>
      </x:c>
      <x:c r="K106" s="4" t="str">
        <x:v>同じ操作を両OSで個別に実施</x:v>
      </x:c>
      <x:c r="L106" s="29" t="str">
        <x:v>未実施</x:v>
      </x:c>
      <x:c r="M106" s="29" t="str">
        <x:v>未実施</x:v>
      </x:c>
      <x:c r="N106" s="30" t="str">
        <x:v>現行ビルドで当該手順の実施証跡なし。過去結果と参考試験は右欄。</x:v>
      </x:c>
      <x:c r="O106" s="30" t="str">
        <x:v>現行ビルドで当該手順の実施証跡なし。過去結果と参考試験は右欄。</x:v>
      </x:c>
      <x:c r="P106" s="30" t="str">
        <x:v>未採番：該当証跡未特定</x:v>
      </x:c>
      <x:c r="Q106" s="4" t="str">
        <x:v>実機UI操作＋読取API／端末ログ照合。専用ドライバー整備後に実施。</x:v>
      </x:c>
      <x:c r="R106" s="4" t="str">
        <x:v>評価は対象の現行ビルドだけ。旧版/検証版結果を現行OKへ繰り上げない。</x:v>
      </x:c>
      <x:c r="S106" s="4" t="str">
        <x:v>未確認</x:v>
      </x:c>
      <x:c r="T106" s="4" t="str">
        <x:v>未確認</x:v>
      </x:c>
      <x:c r="U106" s="4" t="str">
        <x:v>該当する過去の実機証跡を今回特定できず。未実施と断定せず未確認。</x:v>
      </x:c>
      <x:c r="V106" s="4" t="str">
        <x:v>該当する過去の実機証跡を今回特定できず。未実施と断定せず未確認。</x:v>
      </x:c>
      <x:c r="W106" s="4" t="str">
        <x:v>通常回帰・未確認</x:v>
      </x:c>
      <x:c r="X106" s="4" t="str">
        <x:v>未確認の全件を必須にはしない。変更範囲・重大度・障害発生に応じて選択。</x:v>
      </x:c>
      <x:c r="Y106" s="4" t="str">
        <x:v>A2 次優先</x:v>
      </x:c>
      <x:c r="Z106" s="4" t="str">
        <x:v>安定した実機UIドライバーとfixtureを整備し、対象OSの評価欄へ証跡付きで記録。</x:v>
      </x:c>
    </x:row>
    <x:row r="107" ht="105" customHeight="1">
      <x:c r="A107" s="6" t="n">
        <x:v>100</x:v>
      </x:c>
      <x:c r="B107" s="4" t="str">
        <x:v>10 プロフィール・規約・退会</x:v>
      </x:c>
      <x:c r="C107" s="4" t="str">
        <x:v>画像</x:v>
      </x:c>
      <x:c r="D107" s="4" t="str">
        <x:v>画像選択・取消・権限拒否</x:v>
      </x:c>
      <x:c r="E107" s="4" t="str">
        <x:v>取消・拒否で異常終了せず、許可時のみ画像を保存できる。</x:v>
      </x:c>
      <x:c r="F107" s="4" t="str">
        <x:v>手動実機テスト</x:v>
      </x:c>
      <x:c r="G107" s="7" t="str">
        <x:v>共通</x:v>
      </x:c>
      <x:c r="H107" s="7" t="str">
        <x:v>P2</x:v>
      </x:c>
      <x:c r="I107" s="4" t="str">
        <x:v>標準環境S1</x:v>
      </x:c>
      <x:c r="J107" s="4" t="str">
        <x:v>アイコン画像選択で取消、写真権限拒否、許可を順に確認。</x:v>
      </x:c>
      <x:c r="K107" s="4" t="str">
        <x:v>同じ操作を両OSで個別に実施</x:v>
      </x:c>
      <x:c r="L107" s="29" t="str">
        <x:v>未実施</x:v>
      </x:c>
      <x:c r="M107" s="29" t="str">
        <x:v>未実施</x:v>
      </x:c>
      <x:c r="N107" s="30" t="str">
        <x:v>現行ビルドで当該手順の実施証跡なし。過去結果と参考試験は右欄。</x:v>
      </x:c>
      <x:c r="O107" s="30" t="str">
        <x:v>現行ビルドで当該手順の実施証跡なし。過去結果と参考試験は右欄。</x:v>
      </x:c>
      <x:c r="P107" s="30" t="str">
        <x:v>未採番：該当証跡未特定</x:v>
      </x:c>
      <x:c r="Q107" s="4" t="str">
        <x:v>画面観察・録画＋操作時刻・端末ログ／読取APIを照合。</x:v>
      </x:c>
      <x:c r="R107" s="4" t="str">
        <x:v>評価は対象の現行ビルドだけ。旧版/検証版結果を現行OKへ繰り上げない。</x:v>
      </x:c>
      <x:c r="S107" s="4" t="str">
        <x:v>未確認</x:v>
      </x:c>
      <x:c r="T107" s="4" t="str">
        <x:v>未確認</x:v>
      </x:c>
      <x:c r="U107" s="4" t="str">
        <x:v>該当する過去の実機証跡を今回特定できず。未実施と断定せず未確認。</x:v>
      </x:c>
      <x:c r="V107" s="4" t="str">
        <x:v>該当する過去の実機証跡を今回特定できず。未実施と断定せず未確認。</x:v>
      </x:c>
      <x:c r="W107" s="4" t="str">
        <x:v>通常回帰・未確認</x:v>
      </x:c>
      <x:c r="X107" s="4" t="str">
        <x:v>未確認の全件を必須にはしない。変更範囲・重大度・障害発生に応じて選択。</x:v>
      </x:c>
      <x:c r="Y107" s="4" t="str">
        <x:v>手動中心</x:v>
      </x:c>
      <x:c r="Z107" s="4" t="str">
        <x:v>実移動・権限ダイアログ・課金確認は手動。ログ/時刻/件数収集と比較を補助自動化。</x:v>
      </x:c>
    </x:row>
    <x:row r="108" ht="105" customHeight="1">
      <x:c r="A108" s="6" t="n">
        <x:v>101</x:v>
      </x:c>
      <x:c r="B108" s="4" t="str">
        <x:v>10 プロフィール・規約・退会</x:v>
      </x:c>
      <x:c r="C108" s="4" t="str">
        <x:v>規約</x:v>
      </x:c>
      <x:c r="D108" s="4" t="str">
        <x:v>規約・プライバシー表示</x:v>
      </x:c>
      <x:c r="E108" s="4" t="str">
        <x:v>文書を読め、外部リンクや戻る操作が機能する。</x:v>
      </x:c>
      <x:c r="F108" s="4" t="str">
        <x:v>手動実機テスト</x:v>
      </x:c>
      <x:c r="G108" s="7" t="str">
        <x:v>共通</x:v>
      </x:c>
      <x:c r="H108" s="7" t="str">
        <x:v>P1</x:v>
      </x:c>
      <x:c r="I108" s="4" t="str">
        <x:v>標準環境S1</x:v>
      </x:c>
      <x:c r="J108" s="4" t="str">
        <x:v>アプリ内の両文書を開き、スクロール・戻るを確認。</x:v>
      </x:c>
      <x:c r="K108" s="4" t="str">
        <x:v>同じ操作を両OSで個別に実施</x:v>
      </x:c>
      <x:c r="L108" s="29" t="str">
        <x:v>未実施</x:v>
      </x:c>
      <x:c r="M108" s="29" t="str">
        <x:v>未実施</x:v>
      </x:c>
      <x:c r="N108" s="30" t="str">
        <x:v>現行ビルドで当該手順の実施証跡なし。過去結果と参考試験は右欄。</x:v>
      </x:c>
      <x:c r="O108" s="30" t="str">
        <x:v>現行ビルドで当該手順の実施証跡なし。過去結果と参考試験は右欄。</x:v>
      </x:c>
      <x:c r="P108" s="30" t="str">
        <x:v>未採番：該当証跡未特定</x:v>
      </x:c>
      <x:c r="Q108" s="4" t="str">
        <x:v>画面観察・録画＋操作時刻・端末ログ／読取APIを照合。</x:v>
      </x:c>
      <x:c r="R108" s="4" t="str">
        <x:v>評価は対象の現行ビルドだけ。旧版/検証版結果を現行OKへ繰り上げない。</x:v>
      </x:c>
      <x:c r="S108" s="4" t="str">
        <x:v>未確認</x:v>
      </x:c>
      <x:c r="T108" s="4" t="str">
        <x:v>未確認</x:v>
      </x:c>
      <x:c r="U108" s="4" t="str">
        <x:v>該当する過去の実機証跡を今回特定できず。未実施と断定せず未確認。</x:v>
      </x:c>
      <x:c r="V108" s="4" t="str">
        <x:v>該当する過去の実機証跡を今回特定できず。未実施と断定せず未確認。</x:v>
      </x:c>
      <x:c r="W108" s="4" t="str">
        <x:v>通常回帰・未確認</x:v>
      </x:c>
      <x:c r="X108" s="4" t="str">
        <x:v>未確認の全件を必須にはしない。変更範囲・重大度・障害発生に応じて選択。</x:v>
      </x:c>
      <x:c r="Y108" s="4" t="str">
        <x:v>手動中心</x:v>
      </x:c>
      <x:c r="Z108" s="4" t="str">
        <x:v>実移動・権限ダイアログ・課金確認は手動。ログ/時刻/件数収集と比較を補助自動化。</x:v>
      </x:c>
    </x:row>
    <x:row r="109" ht="105" customHeight="1">
      <x:c r="A109" s="6" t="n">
        <x:v>102</x:v>
      </x:c>
      <x:c r="B109" s="4" t="str">
        <x:v>10 プロフィール・規約・退会</x:v>
      </x:c>
      <x:c r="C109" s="4" t="str">
        <x:v>同意</x:v>
      </x:c>
      <x:c r="D109" s="4" t="str">
        <x:v>未同意と改定後の再同意</x:v>
      </x:c>
      <x:c r="E109" s="4" t="str">
        <x:v>必要な同意画面が表示され、同意状態をユーザー・改定ごとに保持する。</x:v>
      </x:c>
      <x:c r="F109" s="4" t="str">
        <x:v>手動実機テスト</x:v>
      </x:c>
      <x:c r="G109" s="7" t="str">
        <x:v>共通</x:v>
      </x:c>
      <x:c r="H109" s="7" t="str">
        <x:v>P1</x:v>
      </x:c>
      <x:c r="I109" s="4" t="str">
        <x:v>S2＋同意fixture。実施者が文書を読んで操作</x:v>
      </x:c>
      <x:c r="J109" s="4" t="str">
        <x:v>隔離環境で未同意／旧改定同意の専用ユーザーでログイン。</x:v>
      </x:c>
      <x:c r="K109" s="4" t="str">
        <x:v>同じ操作を両OSで個別に実施</x:v>
      </x:c>
      <x:c r="L109" s="29" t="str">
        <x:v>未実施</x:v>
      </x:c>
      <x:c r="M109" s="29" t="str">
        <x:v>未実施</x:v>
      </x:c>
      <x:c r="N109" s="30" t="str">
        <x:v>現行ビルドで当該手順の実施証跡なし。過去結果と参考試験は右欄。</x:v>
      </x:c>
      <x:c r="O109" s="30" t="str">
        <x:v>現行ビルドで当該手順の実施証跡なし。過去結果と参考試験は右欄。</x:v>
      </x:c>
      <x:c r="P109" s="30" t="str">
        <x:v>未採番：該当証跡未特定</x:v>
      </x:c>
      <x:c r="Q109" s="4" t="str">
        <x:v>画面観察・録画＋操作時刻・端末ログ／読取APIを照合。</x:v>
      </x:c>
      <x:c r="R109" s="4" t="str">
        <x:v>評価は対象の現行ビルドだけ。旧版/検証版結果を現行OKへ繰り上げない。</x:v>
      </x:c>
      <x:c r="S109" s="4" t="str">
        <x:v>未確認</x:v>
      </x:c>
      <x:c r="T109" s="4" t="str">
        <x:v>未確認</x:v>
      </x:c>
      <x:c r="U109" s="4" t="str">
        <x:v>該当する過去の実機証跡を今回特定できず。未実施と断定せず未確認。</x:v>
      </x:c>
      <x:c r="V109" s="4" t="str">
        <x:v>該当する過去の実機証跡を今回特定できず。未実施と断定せず未確認。</x:v>
      </x:c>
      <x:c r="W109" s="4" t="str">
        <x:v>変更/障害時に追試</x:v>
      </x:c>
      <x:c r="X109" s="4" t="str">
        <x:v>未確認の全件を必須にはしない。変更範囲・重大度・障害発生に応じて選択。</x:v>
      </x:c>
      <x:c r="Y109" s="4" t="str">
        <x:v>手動中心</x:v>
      </x:c>
      <x:c r="Z109" s="4" t="str">
        <x:v>実移動・権限ダイアログ・課金確認は手動。ログ/時刻/件数収集と比較を補助自動化。</x:v>
      </x:c>
    </x:row>
    <x:row r="110" ht="105" customHeight="1">
      <x:c r="A110" s="6" t="n">
        <x:v>103</x:v>
      </x:c>
      <x:c r="B110" s="4" t="str">
        <x:v>10 プロフィール・規約・退会</x:v>
      </x:c>
      <x:c r="C110" s="4" t="str">
        <x:v>問い合わせ</x:v>
      </x:c>
      <x:c r="D110" s="4" t="str">
        <x:v>問い合わせ画面・連絡先</x:v>
      </x:c>
      <x:c r="E110" s="4" t="str">
        <x:v>正しい連絡先と入力項目が表示される。意図しない送信をしない。</x:v>
      </x:c>
      <x:c r="F110" s="4" t="str">
        <x:v>手動実機テスト</x:v>
      </x:c>
      <x:c r="G110" s="7" t="str">
        <x:v>共通</x:v>
      </x:c>
      <x:c r="H110" s="7" t="str">
        <x:v>P2</x:v>
      </x:c>
      <x:c r="I110" s="4" t="str">
        <x:v>標準環境S1</x:v>
      </x:c>
      <x:c r="J110" s="4" t="str">
        <x:v>問い合わせ画面を開き、送信前まで内容と連絡先を確認。</x:v>
      </x:c>
      <x:c r="K110" s="4" t="str">
        <x:v>同じ操作を両OSで個別に実施</x:v>
      </x:c>
      <x:c r="L110" s="29" t="str">
        <x:v>未実施</x:v>
      </x:c>
      <x:c r="M110" s="29" t="str">
        <x:v>未実施</x:v>
      </x:c>
      <x:c r="N110" s="30" t="str">
        <x:v>現行ビルドで当該手順の実施証跡なし。過去結果と参考試験は右欄。</x:v>
      </x:c>
      <x:c r="O110" s="30" t="str">
        <x:v>現行ビルドで当該手順の実施証跡なし。過去結果と参考試験は右欄。</x:v>
      </x:c>
      <x:c r="P110" s="30" t="str">
        <x:v>未採番：該当証跡未特定</x:v>
      </x:c>
      <x:c r="Q110" s="4" t="str">
        <x:v>画面観察・録画＋操作時刻・端末ログ／読取APIを照合。</x:v>
      </x:c>
      <x:c r="R110" s="4" t="str">
        <x:v>評価は対象の現行ビルドだけ。旧版/検証版結果を現行OKへ繰り上げない。</x:v>
      </x:c>
      <x:c r="S110" s="4" t="str">
        <x:v>未確認</x:v>
      </x:c>
      <x:c r="T110" s="4" t="str">
        <x:v>未確認</x:v>
      </x:c>
      <x:c r="U110" s="4" t="str">
        <x:v>該当する過去の実機証跡を今回特定できず。未実施と断定せず未確認。</x:v>
      </x:c>
      <x:c r="V110" s="4" t="str">
        <x:v>該当する過去の実機証跡を今回特定できず。未実施と断定せず未確認。</x:v>
      </x:c>
      <x:c r="W110" s="4" t="str">
        <x:v>通常回帰・未確認</x:v>
      </x:c>
      <x:c r="X110" s="4" t="str">
        <x:v>未確認の全件を必須にはしない。変更範囲・重大度・障害発生に応じて選択。</x:v>
      </x:c>
      <x:c r="Y110" s="4" t="str">
        <x:v>手動中心</x:v>
      </x:c>
      <x:c r="Z110" s="4" t="str">
        <x:v>実移動・権限ダイアログ・課金確認は手動。ログ/時刻/件数収集と比較を補助自動化。</x:v>
      </x:c>
    </x:row>
    <x:row r="111" ht="105" customHeight="1">
      <x:c r="A111" s="6" t="n">
        <x:v>104</x:v>
      </x:c>
      <x:c r="B111" s="4" t="str">
        <x:v>10 プロフィール・規約・退会</x:v>
      </x:c>
      <x:c r="C111" s="4" t="str">
        <x:v>退会</x:v>
      </x:c>
      <x:c r="D111" s="4" t="str">
        <x:v>削除確認のキャンセル</x:v>
      </x:c>
      <x:c r="E111" s="4" t="str">
        <x:v>アカウント・履歴・未送信は変わらず利用を継続できる。</x:v>
      </x:c>
      <x:c r="F111" s="4" t="str">
        <x:v>手動実機テスト</x:v>
      </x:c>
      <x:c r="G111" s="7" t="str">
        <x:v>共通</x:v>
      </x:c>
      <x:c r="H111" s="7" t="str">
        <x:v>P1</x:v>
      </x:c>
      <x:c r="I111" s="4" t="str">
        <x:v>標準環境S1</x:v>
      </x:c>
      <x:c r="J111" s="4" t="str">
        <x:v>専用ユーザーでアカウント削除確認を開き、最終確定前に取消。</x:v>
      </x:c>
      <x:c r="K111" s="4" t="str">
        <x:v>同じ操作を両OSで個別に実施</x:v>
      </x:c>
      <x:c r="L111" s="29" t="str">
        <x:v>未実施</x:v>
      </x:c>
      <x:c r="M111" s="29" t="str">
        <x:v>未実施</x:v>
      </x:c>
      <x:c r="N111" s="30" t="str">
        <x:v>現行ビルドで当該手順の実施証跡なし。過去結果と参考試験は右欄。</x:v>
      </x:c>
      <x:c r="O111" s="30" t="str">
        <x:v>現行ビルドで当該手順の実施証跡なし。過去結果と参考試験は右欄。</x:v>
      </x:c>
      <x:c r="P111" s="30" t="str">
        <x:v>未採番：該当証跡未特定</x:v>
      </x:c>
      <x:c r="Q111" s="4" t="str">
        <x:v>画面観察・録画＋操作時刻・端末ログ／読取APIを照合。</x:v>
      </x:c>
      <x:c r="R111" s="4" t="str">
        <x:v>評価は対象の現行ビルドだけ。旧版/検証版結果を現行OKへ繰り上げない。</x:v>
      </x:c>
      <x:c r="S111" s="4" t="str">
        <x:v>未確認</x:v>
      </x:c>
      <x:c r="T111" s="4" t="str">
        <x:v>未確認</x:v>
      </x:c>
      <x:c r="U111" s="4" t="str">
        <x:v>該当する過去の実機証跡を今回特定できず。未実施と断定せず未確認。</x:v>
      </x:c>
      <x:c r="V111" s="4" t="str">
        <x:v>該当する過去の実機証跡を今回特定できず。未実施と断定せず未確認。</x:v>
      </x:c>
      <x:c r="W111" s="4" t="str">
        <x:v>通常回帰・未確認</x:v>
      </x:c>
      <x:c r="X111" s="4" t="str">
        <x:v>未確認の全件を必須にはしない。変更範囲・重大度・障害発生に応じて選択。</x:v>
      </x:c>
      <x:c r="Y111" s="4" t="str">
        <x:v>手動中心</x:v>
      </x:c>
      <x:c r="Z111" s="4" t="str">
        <x:v>実移動・権限ダイアログ・課金確認は手動。ログ/時刻/件数収集と比較を補助自動化。</x:v>
      </x:c>
    </x:row>
    <x:row r="112" ht="105" customHeight="1">
      <x:c r="A112" s="6" t="n">
        <x:v>105</x:v>
      </x:c>
      <x:c r="B112" s="4" t="str">
        <x:v>10 プロフィール・規約・退会</x:v>
      </x:c>
      <x:c r="C112" s="4" t="str">
        <x:v>退会</x:v>
      </x:c>
      <x:c r="D112" s="4" t="str">
        <x:v>専用アカウント削除・中断復旧</x:v>
      </x:c>
      <x:c r="E112" s="4" t="str">
        <x:v>対象の削除処理が再開・完了し、他ユーザーのデータを消さない。</x:v>
      </x:c>
      <x:c r="F112" s="4" t="str">
        <x:v>手動実機テスト</x:v>
      </x:c>
      <x:c r="G112" s="7" t="str">
        <x:v>共通</x:v>
      </x:c>
      <x:c r="H112" s="7" t="str">
        <x:v>P1</x:v>
      </x:c>
      <x:c r="I112" s="4" t="str">
        <x:v>隔離環境の使い捨てアカウント限定。通常アカウントは禁止</x:v>
      </x:c>
      <x:c r="J112" s="4" t="str">
        <x:v>削除専用アカウントで退会を実施し、隔離環境で一度中断後再開。</x:v>
      </x:c>
      <x:c r="K112" s="4" t="str">
        <x:v>同じ操作を両OSで個別に実施</x:v>
      </x:c>
      <x:c r="L112" s="29" t="str">
        <x:v>未実施</x:v>
      </x:c>
      <x:c r="M112" s="29" t="str">
        <x:v>未実施</x:v>
      </x:c>
      <x:c r="N112" s="30" t="str">
        <x:v>現行ビルドで当該手順の実施証跡なし。過去結果と参考試験は右欄。</x:v>
      </x:c>
      <x:c r="O112" s="30" t="str">
        <x:v>現行ビルドで当該手順の実施証跡なし。過去結果と参考試験は右欄。</x:v>
      </x:c>
      <x:c r="P112" s="30" t="str">
        <x:v>未採番：該当証跡未特定</x:v>
      </x:c>
      <x:c r="Q112" s="4" t="str">
        <x:v>画面観察・録画＋操作時刻・端末ログ／読取APIを照合。</x:v>
      </x:c>
      <x:c r="R112" s="4" t="str">
        <x:v>評価は対象の現行ビルドだけ。旧版/検証版結果を現行OKへ繰り上げない。</x:v>
      </x:c>
      <x:c r="S112" s="4" t="str">
        <x:v>未確認</x:v>
      </x:c>
      <x:c r="T112" s="4" t="str">
        <x:v>未確認</x:v>
      </x:c>
      <x:c r="U112" s="4" t="str">
        <x:v>該当する過去の実機証跡を今回特定できず。未実施と断定せず未確認。</x:v>
      </x:c>
      <x:c r="V112" s="4" t="str">
        <x:v>該当する過去の実機証跡を今回特定できず。未実施と断定せず未確認。</x:v>
      </x:c>
      <x:c r="W112" s="4" t="str">
        <x:v>変更/障害時に追試</x:v>
      </x:c>
      <x:c r="X112" s="4" t="str">
        <x:v>未確認の全件を必須にはしない。変更範囲・重大度・障害発生に応じて選択。</x:v>
      </x:c>
      <x:c r="Y112" s="4" t="str">
        <x:v>手動中心</x:v>
      </x:c>
      <x:c r="Z112" s="4" t="str">
        <x:v>実移動・権限ダイアログ・課金確認は手動。ログ/時刻/件数収集と比較を補助自動化。</x:v>
      </x:c>
    </x:row>
    <x:row r="113" ht="105" customHeight="1">
      <x:c r="A113" s="9" t="n">
        <x:v>106</x:v>
      </x:c>
      <x:c r="B113" s="10" t="str">
        <x:v>11 OS権限・端末条件</x:v>
      </x:c>
      <x:c r="C113" s="10" t="str">
        <x:v>位置権限</x:v>
      </x:c>
      <x:c r="D113" s="10" t="str">
        <x:v>Android初回の許可・拒否</x:v>
      </x:c>
      <x:c r="E113" s="10" t="str">
        <x:v>拒否時は理由を案内し誤って記録成功にしない。許可後は開始できる。</x:v>
      </x:c>
      <x:c r="F113" s="10" t="str">
        <x:v>手動実機テスト</x:v>
      </x:c>
      <x:c r="G113" s="11" t="str">
        <x:v>Android</x:v>
      </x:c>
      <x:c r="H113" s="11" t="str">
        <x:v>P0</x:v>
      </x:c>
      <x:c r="I113" s="10" t="str">
        <x:v>専用検証アプリ</x:v>
      </x:c>
      <x:c r="J113" s="10" t="str">
        <x:v>専用環境で位置情報を拒否して開始し、その後設定で必要権限を許可。</x:v>
      </x:c>
      <x:c r="K113" s="10" t="str">
        <x:v>Androidの前景／背景位置情報の許可導線を確認</x:v>
      </x:c>
      <x:c r="L113" s="29" t="str">
        <x:v>対象外</x:v>
      </x:c>
      <x:c r="M113" s="29" t="str">
        <x:v>未実施</x:v>
      </x:c>
      <x:c r="N113" s="30" t="str">
        <x:v>非対象</x:v>
      </x:c>
      <x:c r="O113" s="30" t="str">
        <x:v>現行ビルドで当該手順の実施証跡なし。過去結果と参考試験は右欄。</x:v>
      </x:c>
      <x:c r="P113" s="30" t="str">
        <x:v>未採番：該当証跡未特定</x:v>
      </x:c>
      <x:c r="Q113" s="4" t="str">
        <x:v>画面観察・録画＋操作時刻・端末ログ／読取APIを照合。</x:v>
      </x:c>
      <x:c r="R113" s="4" t="str">
        <x:v>評価は対象の現行ビルドだけ。旧版/検証版結果を現行OKへ繰り上げない。</x:v>
      </x:c>
      <x:c r="S113" s="4" t="str">
        <x:v>非対象</x:v>
      </x:c>
      <x:c r="T113" s="4" t="str">
        <x:v>未確認</x:v>
      </x:c>
      <x:c r="U113" s="4" t="str">
        <x:v>該当する過去の実機証跡を今回特定できず。未実施と断定せず未確認。</x:v>
      </x:c>
      <x:c r="V113" s="4" t="str">
        <x:v>該当する過去の実機証跡を今回特定できず。未実施と断定せず未確認。</x:v>
      </x:c>
      <x:c r="W113" s="4" t="str">
        <x:v>変更/障害時に追試</x:v>
      </x:c>
      <x:c r="X113" s="4" t="str">
        <x:v>未確認の全件を必須にはしない。変更範囲・重大度・障害発生に応じて選択。</x:v>
      </x:c>
      <x:c r="Y113" s="4" t="str">
        <x:v>手動中心</x:v>
      </x:c>
      <x:c r="Z113" s="4" t="str">
        <x:v>実移動・権限ダイアログ・課金確認は手動。ログ/時刻/件数収集と比較を補助自動化。</x:v>
      </x:c>
    </x:row>
    <x:row r="114" ht="105" customHeight="1">
      <x:c r="A114" s="6" t="n">
        <x:v>107</x:v>
      </x:c>
      <x:c r="B114" s="4" t="str">
        <x:v>11 OS権限・端末条件</x:v>
      </x:c>
      <x:c r="C114" s="4" t="str">
        <x:v>位置権限</x:v>
      </x:c>
      <x:c r="D114" s="4" t="str">
        <x:v>iOS常に・正確な位置</x:v>
      </x:c>
      <x:c r="E114" s="4" t="str">
        <x:v>不足時の案内が適切で、常に＋正確で背景記録が動作する。</x:v>
      </x:c>
      <x:c r="F114" s="4" t="str">
        <x:v>手動実機テスト</x:v>
      </x:c>
      <x:c r="G114" s="7" t="str">
        <x:v>iOS</x:v>
      </x:c>
      <x:c r="H114" s="7" t="str">
        <x:v>P0</x:v>
      </x:c>
      <x:c r="I114" s="4" t="str">
        <x:v>専用検証アプリ</x:v>
      </x:c>
      <x:c r="J114" s="4" t="str">
        <x:v>検証アプリの許可なし、使用中のみ、常に＋正確を比較。</x:v>
      </x:c>
      <x:c r="K114" s="4" t="str">
        <x:v>iOS設定の常に／正確な位置情報。OSの表示差を記録</x:v>
      </x:c>
      <x:c r="L114" s="29" t="str">
        <x:v>未実施</x:v>
      </x:c>
      <x:c r="M114" s="29" t="str">
        <x:v>対象外</x:v>
      </x:c>
      <x:c r="N114" s="30" t="str">
        <x:v>現行ビルドで当該手順の実施証跡なし。過去結果と参考試験は右欄。</x:v>
      </x:c>
      <x:c r="O114" s="30" t="str">
        <x:v>非対象</x:v>
      </x:c>
      <x:c r="P114" s="30" t="str">
        <x:v>未採番：該当証跡未特定</x:v>
      </x:c>
      <x:c r="Q114" s="4" t="str">
        <x:v>画面観察・録画＋操作時刻・端末ログ／読取APIを照合。</x:v>
      </x:c>
      <x:c r="R114" s="4" t="str">
        <x:v>評価は対象の現行ビルドだけ。旧版/検証版結果を現行OKへ繰り上げない。</x:v>
      </x:c>
      <x:c r="S114" s="4" t="str">
        <x:v>未確認</x:v>
      </x:c>
      <x:c r="T114" s="4" t="str">
        <x:v>非対象</x:v>
      </x:c>
      <x:c r="U114" s="4" t="str">
        <x:v>該当する過去の実機証跡を今回特定できず。未実施と断定せず未確認。</x:v>
      </x:c>
      <x:c r="V114" s="4" t="str">
        <x:v>該当する過去の実機証跡を今回特定できず。未実施と断定せず未確認。</x:v>
      </x:c>
      <x:c r="W114" s="4" t="str">
        <x:v>変更/障害時に追試</x:v>
      </x:c>
      <x:c r="X114" s="4" t="str">
        <x:v>未確認の全件を必須にはしない。変更範囲・重大度・障害発生に応じて選択。</x:v>
      </x:c>
      <x:c r="Y114" s="4" t="str">
        <x:v>手動中心</x:v>
      </x:c>
      <x:c r="Z114" s="4" t="str">
        <x:v>実移動・権限ダイアログ・課金確認は手動。ログ/時刻/件数収集と比較を補助自動化。</x:v>
      </x:c>
    </x:row>
    <x:row r="115" ht="105" customHeight="1">
      <x:c r="A115" s="6" t="n">
        <x:v>108</x:v>
      </x:c>
      <x:c r="B115" s="4" t="str">
        <x:v>11 OS権限・端末条件</x:v>
      </x:c>
      <x:c r="C115" s="4" t="str">
        <x:v>位置サービス</x:v>
      </x:c>
      <x:c r="D115" s="4" t="str">
        <x:v>端末位置情報OFFから復帰</x:v>
      </x:c>
      <x:c r="E115" s="4" t="str">
        <x:v>測位停止を誤って成功と扱わず、復帰後に同じ記録で再開しデータを保持する。</x:v>
      </x:c>
      <x:c r="F115" s="4" t="str">
        <x:v>手動実機テスト</x:v>
      </x:c>
      <x:c r="G115" s="7" t="str">
        <x:v>共通</x:v>
      </x:c>
      <x:c r="H115" s="7" t="str">
        <x:v>P1</x:v>
      </x:c>
      <x:c r="I115" s="4" t="str">
        <x:v>専用端末・終了後設定復元</x:v>
      </x:c>
      <x:c r="J115" s="4" t="str">
        <x:v>記録中に端末位置サービスを切り、復帰させる。</x:v>
      </x:c>
      <x:c r="K115" s="4" t="str">
        <x:v>同じ操作を両OSで個別に実施</x:v>
      </x:c>
      <x:c r="L115" s="29" t="str">
        <x:v>未実施</x:v>
      </x:c>
      <x:c r="M115" s="29" t="str">
        <x:v>未実施</x:v>
      </x:c>
      <x:c r="N115" s="30" t="str">
        <x:v>現行ビルドで当該手順の実施証跡なし。過去結果と参考試験は右欄。</x:v>
      </x:c>
      <x:c r="O115" s="30" t="str">
        <x:v>現行ビルドで当該手順の実施証跡なし。過去結果と参考試験は右欄。</x:v>
      </x:c>
      <x:c r="P115" s="30" t="str">
        <x:v>未採番：該当証跡未特定</x:v>
      </x:c>
      <x:c r="Q115" s="4" t="str">
        <x:v>画面観察・録画＋操作時刻・端末ログ／読取APIを照合。</x:v>
      </x:c>
      <x:c r="R115" s="4" t="str">
        <x:v>評価は対象の現行ビルドだけ。旧版/検証版結果を現行OKへ繰り上げない。</x:v>
      </x:c>
      <x:c r="S115" s="4" t="str">
        <x:v>未確認</x:v>
      </x:c>
      <x:c r="T115" s="4" t="str">
        <x:v>未確認</x:v>
      </x:c>
      <x:c r="U115" s="4" t="str">
        <x:v>該当する過去の実機証跡を今回特定できず。未実施と断定せず未確認。</x:v>
      </x:c>
      <x:c r="V115" s="4" t="str">
        <x:v>該当する過去の実機証跡を今回特定できず。未実施と断定せず未確認。</x:v>
      </x:c>
      <x:c r="W115" s="4" t="str">
        <x:v>変更/障害時に追試</x:v>
      </x:c>
      <x:c r="X115" s="4" t="str">
        <x:v>未確認の全件を必須にはしない。変更範囲・重大度・障害発生に応じて選択。</x:v>
      </x:c>
      <x:c r="Y115" s="4" t="str">
        <x:v>手動中心</x:v>
      </x:c>
      <x:c r="Z115" s="4" t="str">
        <x:v>実移動・権限ダイアログ・課金確認は手動。ログ/時刻/件数収集と比較を補助自動化。</x:v>
      </x:c>
    </x:row>
    <x:row r="116" ht="105" customHeight="1">
      <x:c r="A116" s="6" t="n">
        <x:v>109</x:v>
      </x:c>
      <x:c r="B116" s="4" t="str">
        <x:v>11 OS権限・端末条件</x:v>
      </x:c>
      <x:c r="C116" s="4" t="str">
        <x:v>精度</x:v>
      </x:c>
      <x:c r="D116" s="4" t="str">
        <x:v>概算位置での動作</x:v>
      </x:c>
      <x:c r="E116" s="4" t="str">
        <x:v>低精度を高精度と誤表示せず、異常終了しない。</x:v>
      </x:c>
      <x:c r="F116" s="4" t="str">
        <x:v>手動実機テスト</x:v>
      </x:c>
      <x:c r="G116" s="7" t="str">
        <x:v>共通</x:v>
      </x:c>
      <x:c r="H116" s="7" t="str">
        <x:v>P1</x:v>
      </x:c>
      <x:c r="I116" s="4" t="str">
        <x:v>専用検証アプリ</x:v>
      </x:c>
      <x:c r="J116" s="4" t="str">
        <x:v>OSの概算位置で起動・記録・共有し、精度値を確認。</x:v>
      </x:c>
      <x:c r="K116" s="4" t="str">
        <x:v>iOSの正確OFF／Androidの概算をそれぞれ確認</x:v>
      </x:c>
      <x:c r="L116" s="29" t="str">
        <x:v>未実施</x:v>
      </x:c>
      <x:c r="M116" s="29" t="str">
        <x:v>未実施</x:v>
      </x:c>
      <x:c r="N116" s="30" t="str">
        <x:v>現行ビルドで当該手順の実施証跡なし。過去結果と参考試験は右欄。</x:v>
      </x:c>
      <x:c r="O116" s="30" t="str">
        <x:v>現行ビルドで当該手順の実施証跡なし。過去結果と参考試験は右欄。</x:v>
      </x:c>
      <x:c r="P116" s="30" t="str">
        <x:v>未採番：該当証跡未特定</x:v>
      </x:c>
      <x:c r="Q116" s="4" t="str">
        <x:v>画面観察・録画＋操作時刻・端末ログ／読取APIを照合。</x:v>
      </x:c>
      <x:c r="R116" s="4" t="str">
        <x:v>評価は対象の現行ビルドだけ。旧版/検証版結果を現行OKへ繰り上げない。</x:v>
      </x:c>
      <x:c r="S116" s="4" t="str">
        <x:v>未確認</x:v>
      </x:c>
      <x:c r="T116" s="4" t="str">
        <x:v>未確認</x:v>
      </x:c>
      <x:c r="U116" s="4" t="str">
        <x:v>該当する過去の実機証跡を今回特定できず。未実施と断定せず未確認。</x:v>
      </x:c>
      <x:c r="V116" s="4" t="str">
        <x:v>該当する過去の実機証跡を今回特定できず。未実施と断定せず未確認。</x:v>
      </x:c>
      <x:c r="W116" s="4" t="str">
        <x:v>変更/障害時に追試</x:v>
      </x:c>
      <x:c r="X116" s="4" t="str">
        <x:v>未確認の全件を必須にはしない。変更範囲・重大度・障害発生に応じて選択。</x:v>
      </x:c>
      <x:c r="Y116" s="4" t="str">
        <x:v>手動中心</x:v>
      </x:c>
      <x:c r="Z116" s="4" t="str">
        <x:v>実移動・権限ダイアログ・課金確認は手動。ログ/時刻/件数収集と比較を補助自動化。</x:v>
      </x:c>
    </x:row>
    <x:row r="117" ht="105" customHeight="1">
      <x:c r="A117" s="6" t="n">
        <x:v>110</x:v>
      </x:c>
      <x:c r="B117" s="4" t="str">
        <x:v>11 OS権限・端末条件</x:v>
      </x:c>
      <x:c r="C117" s="4" t="str">
        <x:v>通知</x:v>
      </x:c>
      <x:c r="D117" s="4" t="str">
        <x:v>Android記録通知</x:v>
      </x:c>
      <x:c r="E117" s="4" t="str">
        <x:v>記録中の状態を把握でき、停止後に誤った記録中通知が残らない。</x:v>
      </x:c>
      <x:c r="F117" s="4" t="str">
        <x:v>手動実機テスト</x:v>
      </x:c>
      <x:c r="G117" s="7" t="str">
        <x:v>Android</x:v>
      </x:c>
      <x:c r="H117" s="7" t="str">
        <x:v>P1</x:v>
      </x:c>
      <x:c r="I117" s="4" t="str">
        <x:v>通知権限の状態を記録</x:v>
      </x:c>
      <x:c r="J117" s="4" t="str">
        <x:v>背景記録中の継続通知と停止後の状態を確認。</x:v>
      </x:c>
      <x:c r="K117" s="4" t="str">
        <x:v>AndroidのForeground Service通知</x:v>
      </x:c>
      <x:c r="L117" s="29" t="str">
        <x:v>対象外</x:v>
      </x:c>
      <x:c r="M117" s="29" t="str">
        <x:v>未実施</x:v>
      </x:c>
      <x:c r="N117" s="30" t="str">
        <x:v>非対象</x:v>
      </x:c>
      <x:c r="O117" s="30" t="str">
        <x:v>現行ビルドで当該手順の実施証跡なし。過去結果と参考試験は右欄。</x:v>
      </x:c>
      <x:c r="P117" s="30" t="str">
        <x:v>未採番：該当証跡未特定</x:v>
      </x:c>
      <x:c r="Q117" s="4" t="str">
        <x:v>画面観察・録画＋操作時刻・端末ログ／読取APIを照合。</x:v>
      </x:c>
      <x:c r="R117" s="4" t="str">
        <x:v>評価は対象の現行ビルドだけ。旧版/検証版結果を現行OKへ繰り上げない。</x:v>
      </x:c>
      <x:c r="S117" s="4" t="str">
        <x:v>非対象</x:v>
      </x:c>
      <x:c r="T117" s="4" t="str">
        <x:v>未確認</x:v>
      </x:c>
      <x:c r="U117" s="4" t="str">
        <x:v>該当する過去の実機証跡を今回特定できず。未実施と断定せず未確認。</x:v>
      </x:c>
      <x:c r="V117" s="4" t="str">
        <x:v>該当する過去の実機証跡を今回特定できず。未実施と断定せず未確認。</x:v>
      </x:c>
      <x:c r="W117" s="4" t="str">
        <x:v>変更/障害時に追試</x:v>
      </x:c>
      <x:c r="X117" s="4" t="str">
        <x:v>未確認の全件を必須にはしない。変更範囲・重大度・障害発生に応じて選択。</x:v>
      </x:c>
      <x:c r="Y117" s="4" t="str">
        <x:v>手動中心</x:v>
      </x:c>
      <x:c r="Z117" s="4" t="str">
        <x:v>実移動・権限ダイアログ・課金確認は手動。ログ/時刻/件数収集と比較を補助自動化。</x:v>
      </x:c>
    </x:row>
    <x:row r="118" ht="105" customHeight="1">
      <x:c r="A118" s="6" t="n">
        <x:v>111</x:v>
      </x:c>
      <x:c r="B118" s="4" t="str">
        <x:v>11 OS権限・端末条件</x:v>
      </x:c>
      <x:c r="C118" s="4" t="str">
        <x:v>強制終了</x:v>
      </x:c>
      <x:c r="D118" s="4" t="str">
        <x:v>OS設定の強制停止と通常スワイプの区別</x:v>
      </x:c>
      <x:c r="E118" s="4" t="str">
        <x:v>強制停止中の記録継続を保証しない。再起動後は未確定データを保持し、実測不能区間を捏造しない。</x:v>
      </x:c>
      <x:c r="F118" s="4" t="str">
        <x:v>手動実機テスト</x:v>
      </x:c>
      <x:c r="G118" s="7" t="str">
        <x:v>Android</x:v>
      </x:c>
      <x:c r="H118" s="7" t="str">
        <x:v>P1</x:v>
      </x:c>
      <x:c r="I118" s="4" t="str">
        <x:v>専用検証アプリのみ</x:v>
      </x:c>
      <x:c r="J118" s="4" t="str">
        <x:v>Android専用検証アプリを設定で強制停止し、後で手動起動。</x:v>
      </x:c>
      <x:c r="K118" s="4" t="str">
        <x:v>通常の最近使ったアプリからの終了と区別</x:v>
      </x:c>
      <x:c r="L118" s="29" t="str">
        <x:v>対象外</x:v>
      </x:c>
      <x:c r="M118" s="29" t="str">
        <x:v>未実施</x:v>
      </x:c>
      <x:c r="N118" s="30" t="str">
        <x:v>非対象</x:v>
      </x:c>
      <x:c r="O118" s="30" t="str">
        <x:v>現行ビルドで当該手順の実施証跡なし。過去結果と参考試験は右欄。</x:v>
      </x:c>
      <x:c r="P118" s="30" t="str">
        <x:v>未採番：該当証跡未特定</x:v>
      </x:c>
      <x:c r="Q118" s="4" t="str">
        <x:v>画面観察・録画＋操作時刻・端末ログ／読取APIを照合。</x:v>
      </x:c>
      <x:c r="R118" s="4" t="str">
        <x:v>評価は対象の現行ビルドだけ。旧版/検証版結果を現行OKへ繰り上げない。</x:v>
      </x:c>
      <x:c r="S118" s="4" t="str">
        <x:v>非対象</x:v>
      </x:c>
      <x:c r="T118" s="4" t="str">
        <x:v>未確認</x:v>
      </x:c>
      <x:c r="U118" s="4" t="str">
        <x:v>該当する過去の実機証跡を今回特定できず。未実施と断定せず未確認。</x:v>
      </x:c>
      <x:c r="V118" s="4" t="str">
        <x:v>該当する過去の実機証跡を今回特定できず。未実施と断定せず未確認。</x:v>
      </x:c>
      <x:c r="W118" s="4" t="str">
        <x:v>変更/障害時に追試</x:v>
      </x:c>
      <x:c r="X118" s="4" t="str">
        <x:v>未確認の全件を必須にはしない。変更範囲・重大度・障害発生に応じて選択。</x:v>
      </x:c>
      <x:c r="Y118" s="4" t="str">
        <x:v>手動中心</x:v>
      </x:c>
      <x:c r="Z118" s="4" t="str">
        <x:v>実移動・権限ダイアログ・課金確認は手動。ログ/時刻/件数収集と比較を補助自動化。</x:v>
      </x:c>
    </x:row>
    <x:row r="119" ht="105" customHeight="1">
      <x:c r="A119" s="6" t="n">
        <x:v>112</x:v>
      </x:c>
      <x:c r="B119" s="4" t="str">
        <x:v>11 OS権限・端末条件</x:v>
      </x:c>
      <x:c r="C119" s="4" t="str">
        <x:v>強制終了</x:v>
      </x:c>
      <x:c r="D119" s="4" t="str">
        <x:v>iOSスワイプ終了後の再起動</x:v>
      </x:c>
      <x:c r="E119" s="4" t="str">
        <x:v>終了中の背景継続を保証しない。未送信・未確定を保持し、二重セッションを作らない。</x:v>
      </x:c>
      <x:c r="F119" s="4" t="str">
        <x:v>手動実機テスト</x:v>
      </x:c>
      <x:c r="G119" s="7" t="str">
        <x:v>iOS</x:v>
      </x:c>
      <x:c r="H119" s="7" t="str">
        <x:v>P1</x:v>
      </x:c>
      <x:c r="I119" s="4" t="str">
        <x:v>専用検証アプリのみ</x:v>
      </x:c>
      <x:c r="J119" s="4" t="str">
        <x:v>専用記録でスワイプ終了し、数分後に手動起動。</x:v>
      </x:c>
      <x:c r="K119" s="4" t="str">
        <x:v>iOSで利用者が終了した条件を記録</x:v>
      </x:c>
      <x:c r="L119" s="29" t="str">
        <x:v>未実施</x:v>
      </x:c>
      <x:c r="M119" s="29" t="str">
        <x:v>対象外</x:v>
      </x:c>
      <x:c r="N119" s="30" t="str">
        <x:v>現行ビルドで当該手順の実施証跡なし。過去結果と参考試験は右欄。</x:v>
      </x:c>
      <x:c r="O119" s="30" t="str">
        <x:v>非対象</x:v>
      </x:c>
      <x:c r="P119" s="30" t="str">
        <x:v>未採番：該当証跡未特定</x:v>
      </x:c>
      <x:c r="Q119" s="4" t="str">
        <x:v>画面観察・録画＋操作時刻・端末ログ／読取APIを照合。</x:v>
      </x:c>
      <x:c r="R119" s="4" t="str">
        <x:v>評価は対象の現行ビルドだけ。旧版/検証版結果を現行OKへ繰り上げない。</x:v>
      </x:c>
      <x:c r="S119" s="4" t="str">
        <x:v>未確認</x:v>
      </x:c>
      <x:c r="T119" s="4" t="str">
        <x:v>非対象</x:v>
      </x:c>
      <x:c r="U119" s="4" t="str">
        <x:v>該当する過去の実機証跡を今回特定できず。未実施と断定せず未確認。</x:v>
      </x:c>
      <x:c r="V119" s="4" t="str">
        <x:v>該当する過去の実機証跡を今回特定できず。未実施と断定せず未確認。</x:v>
      </x:c>
      <x:c r="W119" s="4" t="str">
        <x:v>変更/障害時に追試</x:v>
      </x:c>
      <x:c r="X119" s="4" t="str">
        <x:v>未確認の全件を必須にはしない。変更範囲・重大度・障害発生に応じて選択。</x:v>
      </x:c>
      <x:c r="Y119" s="4" t="str">
        <x:v>手動中心</x:v>
      </x:c>
      <x:c r="Z119" s="4" t="str">
        <x:v>実移動・権限ダイアログ・課金確認は手動。ログ/時刻/件数収集と比較を補助自動化。</x:v>
      </x:c>
    </x:row>
    <x:row r="120" ht="105" customHeight="1">
      <x:c r="A120" s="9" t="n">
        <x:v>113</x:v>
      </x:c>
      <x:c r="B120" s="10" t="str">
        <x:v>12 更新・旧版互換・出荷設定</x:v>
      </x:c>
      <x:c r="C120" s="10" t="str">
        <x:v>上書き</x:v>
      </x:c>
      <x:c r="D120" s="10" t="str">
        <x:v>Android25／26から27へ更新</x:v>
      </x:c>
      <x:c r="E120" s="10" t="str">
        <x:v>ログイン・保存済み記録・未送信IDと内容を保持。再送で重複しない。</x:v>
      </x:c>
      <x:c r="F120" s="10" t="str">
        <x:v>手動実機テスト</x:v>
      </x:c>
      <x:c r="G120" s="11" t="str">
        <x:v>Android</x:v>
      </x:c>
      <x:c r="H120" s="11" t="str">
        <x:v>P0</x:v>
      </x:c>
      <x:c r="I120" s="10" t="str">
        <x:v>S2＋旧版APKと正規署名・専用アカウント</x:v>
      </x:c>
      <x:c r="J120" s="10" t="str">
        <x:v>旧版で保存済み・非ゼロ未送信の基準を取得し、削除なしで27へ上書きする。</x:v>
      </x:c>
      <x:c r="K120" s="10" t="str">
        <x:v>Play更新と署名一致を確認。データ消去しない</x:v>
      </x:c>
      <x:c r="L120" s="29" t="str">
        <x:v>対象外</x:v>
      </x:c>
      <x:c r="M120" s="29" t="str">
        <x:v>保留</x:v>
      </x:c>
      <x:c r="N120" s="30" t="str">
        <x:v>非対象</x:v>
      </x:c>
      <x:c r="O120" s="30" t="str">
        <x:v>対象：1.0.5(27)／証跡照合日2026-10-26。実施：利用者操作＋ログ/クラウド照合。通常版26→27の削除なし上書き、旧地図・ログイン・停止を保持。初回インストール日時不変。非ゼロ未送信の上書き保持は未試験。</x:v>
      </x:c>
      <x:c r="P120" s="30" t="str">
        <x:v>E05 / E01 / E04</x:v>
      </x:c>
      <x:c r="Q120" s="4" t="str">
        <x:v>画面観察・録画＋操作時刻・端末ログ／読取APIを照合。</x:v>
      </x:c>
      <x:c r="R120" s="4" t="str">
        <x:v>27/12成果物の署名・ID/権限/接続・内蔵修正・更新優先順位を検査。非ゼロ実未送信や全UIを証明しない。 [E05]</x:v>
      </x:c>
      <x:c r="S120" s="4" t="str">
        <x:v>非対象</x:v>
      </x:c>
      <x:c r="T120" s="4" t="str">
        <x:v>現行部分確認</x:v>
      </x:c>
      <x:c r="U120" s="4" t="str">
        <x:v>該当する過去の実機証跡を今回特定できず。未実施と断定せず未確認。</x:v>
      </x:c>
      <x:c r="V120" s="4" t="str">
        <x:v>該当する過去の実機証跡を今回特定できず。未実施と断定せず未確認。</x:v>
      </x:c>
      <x:c r="W120" s="4" t="str">
        <x:v>既受容制限・後続</x:v>
      </x:c>
      <x:c r="X120" s="4" t="str">
        <x:v>非ゼロ実未送信の上書き直接証明などは既受容の限界。今回自動で出荷阻止へ変更しない。</x:v>
      </x:c>
      <x:c r="Y120" s="4" t="str">
        <x:v>A1 最優先</x:v>
      </x:c>
      <x:c r="Z120" s="4" t="str">
        <x:v>専用セッションでUI＋キュー件数/内容・クラウド/索引/集計を前後照合。遅延・応答喪失を隔離注入。</x:v>
      </x:c>
    </x:row>
    <x:row r="121" ht="105" customHeight="1">
      <x:c r="A121" s="6" t="n">
        <x:v>114</x:v>
      </x:c>
      <x:c r="B121" s="4" t="str">
        <x:v>12 更新・旧版互換・出荷設定</x:v>
      </x:c>
      <x:c r="C121" s="4" t="str">
        <x:v>上書き</x:v>
      </x:c>
      <x:c r="D121" s="4" t="str">
        <x:v>iOS10／11から12へ更新</x:v>
      </x:c>
      <x:c r="E121" s="4" t="str">
        <x:v>ログイン・保存済み記録・未送信を保持。未送信が直接読めなければ送信前後の証跡で確認し保留を明記。</x:v>
      </x:c>
      <x:c r="F121" s="4" t="str">
        <x:v>手動実機テスト</x:v>
      </x:c>
      <x:c r="G121" s="7" t="str">
        <x:v>iOS</x:v>
      </x:c>
      <x:c r="H121" s="7" t="str">
        <x:v>P0</x:v>
      </x:c>
      <x:c r="I121" s="4" t="str">
        <x:v>S2＋旧版が入った専用iPhone</x:v>
      </x:c>
      <x:c r="J121" s="4" t="str">
        <x:v>旧版で保存済み・非ゼロ未送信基準を取得し、TestFlightで12へ更新する。</x:v>
      </x:c>
      <x:c r="K121" s="4" t="str">
        <x:v>端末キューを直接取得できない場合、未証明をOKにしない</x:v>
      </x:c>
      <x:c r="L121" s="29" t="str">
        <x:v>保留</x:v>
      </x:c>
      <x:c r="M121" s="29" t="str">
        <x:v>対象外</x:v>
      </x:c>
      <x:c r="N121" s="30" t="str">
        <x:v>対象：1.0.5(12)／証跡照合日2026-10-26。実施：利用者操作＋ログ/クラウド照合。通常版11→12をTestFlight上書きしログイン・既存地図・停止を保持。非ゼロ未送信と端末キュー直接照合は未取得。</x:v>
      </x:c>
      <x:c r="O121" s="30" t="str">
        <x:v>非対象</x:v>
      </x:c>
      <x:c r="P121" s="30" t="str">
        <x:v>E01 / E04 / E05</x:v>
      </x:c>
      <x:c r="Q121" s="4" t="str">
        <x:v>画面観察・録画＋操作時刻・端末ログ／読取APIを照合。</x:v>
      </x:c>
      <x:c r="R121" s="4" t="str">
        <x:v>27/12成果物の署名・ID/権限/接続・内蔵修正・更新優先順位を検査。非ゼロ実未送信や全UIを証明しない。 [E05]</x:v>
      </x:c>
      <x:c r="S121" s="4" t="str">
        <x:v>現行部分確認</x:v>
      </x:c>
      <x:c r="T121" s="4" t="str">
        <x:v>非対象</x:v>
      </x:c>
      <x:c r="U121" s="4" t="str">
        <x:v>該当する過去の実機証跡を今回特定できず。未実施と断定せず未確認。</x:v>
      </x:c>
      <x:c r="V121" s="4" t="str">
        <x:v>該当する過去の実機証跡を今回特定できず。未実施と断定せず未確認。</x:v>
      </x:c>
      <x:c r="W121" s="4" t="str">
        <x:v>既受容制限・後続</x:v>
      </x:c>
      <x:c r="X121" s="4" t="str">
        <x:v>非ゼロ実未送信の上書き直接証明などは既受容の限界。今回自動で出荷阻止へ変更しない。</x:v>
      </x:c>
      <x:c r="Y121" s="4" t="str">
        <x:v>A1 最優先</x:v>
      </x:c>
      <x:c r="Z121" s="4" t="str">
        <x:v>専用セッションでUI＋キュー件数/内容・クラウド/索引/集計を前後照合。遅延・応答喪失を隔離注入。</x:v>
      </x:c>
    </x:row>
    <x:row r="122" ht="105" customHeight="1">
      <x:c r="A122" s="6" t="n">
        <x:v>115</x:v>
      </x:c>
      <x:c r="B122" s="4" t="str">
        <x:v>12 更新・旧版互換・出荷設定</x:v>
      </x:c>
      <x:c r="C122" s="4" t="str">
        <x:v>内蔵修正</x:v>
      </x:c>
      <x:c r="D122" s="4" t="str">
        <x:v>ストア成果物で破棄修正を実行</x:v>
      </x:c>
      <x:c r="E122" s="4" t="str">
        <x:v>27／12の内蔵版だけでエラーなく動作。古いOTAが修正を上書きしない。</x:v>
      </x:c>
      <x:c r="F122" s="4" t="str">
        <x:v>手動実機テスト</x:v>
      </x:c>
      <x:c r="G122" s="7" t="str">
        <x:v>共通</x:v>
      </x:c>
      <x:c r="H122" s="7" t="str">
        <x:v>P0</x:v>
      </x:c>
      <x:c r="I122" s="4" t="str">
        <x:v>標準環境S1</x:v>
      </x:c>
      <x:c r="J122" s="4" t="str">
        <x:v>内蔵Update IDを確認し、OTA適用前の保存・破棄・再起動を行う。</x:v>
      </x:c>
      <x:c r="K122" s="4" t="str">
        <x:v>同じ操作を両OSで個別に実施</x:v>
      </x:c>
      <x:c r="L122" s="29" t="str">
        <x:v>OK</x:v>
      </x:c>
      <x:c r="M122" s="29" t="str">
        <x:v>OK</x:v>
      </x:c>
      <x:c r="N122" s="30" t="str">
        <x:v>対象：1.0.5(12)／証跡照合日2026-10-26。実施：利用者操作＋ログ/クラウド照合。1.0.5(12)のビルド内蔵Update IDを確認し保存・破棄・再起動に合格。旧OTA未使用。</x:v>
      </x:c>
      <x:c r="O122" s="30" t="str">
        <x:v>対象：1.0.5(27)／証跡照合日2026-10-26。実施：利用者操作＋ログ/クラウド照合。1.0.5(27)のビルド内蔵Update IDを確認し保存・破棄・再起動に合格。旧OTA未使用。</x:v>
      </x:c>
      <x:c r="P122" s="30" t="str">
        <x:v>E01 / E05</x:v>
      </x:c>
      <x:c r="Q122" s="4" t="str">
        <x:v>画面観察・録画＋操作時刻・端末ログ／読取APIを照合。</x:v>
      </x:c>
      <x:c r="R122" s="4" t="str">
        <x:v>27/12成果物の署名・ID/権限/接続・内蔵修正・更新優先順位を検査。非ゼロ実未送信や全UIを証明しない。 [E05]</x:v>
      </x:c>
      <x:c r="S122" s="4" t="str">
        <x:v>現行OK</x:v>
      </x:c>
      <x:c r="T122" s="4" t="str">
        <x:v>現行OK</x:v>
      </x:c>
      <x:c r="U122" s="4" t="str">
        <x:v>該当する過去の実機証跡を今回特定できず。未実施と断定せず未確認。</x:v>
      </x:c>
      <x:c r="V122" s="4" t="str">
        <x:v>該当する過去の実機証跡を今回特定できず。未実施と断定せず未確認。</x:v>
      </x:c>
      <x:c r="W122" s="4" t="str">
        <x:v>現行確認済み</x:v>
      </x:c>
      <x:c r="X122" s="4" t="str">
        <x:v>同じ成果物・OTA・本番差分が不変なら無目的に再実施しない。</x:v>
      </x:c>
      <x:c r="Y122" s="4" t="str">
        <x:v>A1 最優先</x:v>
      </x:c>
      <x:c r="Z122" s="4" t="str">
        <x:v>出荷入力から30生成API＋成果物内定義／時刻関数を検査し、実機内蔵IDと保存・破棄を照合。</x:v>
      </x:c>
    </x:row>
    <x:row r="123" ht="105" customHeight="1">
      <x:c r="A123" s="6" t="n">
        <x:v>116</x:v>
      </x:c>
      <x:c r="B123" s="4" t="str">
        <x:v>12 更新・旧版互換・出荷設定</x:v>
      </x:c>
      <x:c r="C123" s="4" t="str">
        <x:v>OTA</x:v>
      </x:c>
      <x:c r="D123" s="4" t="str">
        <x:v>channel・runtime・優先順位</x:v>
      </x:c>
      <x:c r="E123" s="4" t="str">
        <x:v>production・runtime1.0.5・期待IDと一致し、検証104向け更新が混入しない。配信操作はしない。</x:v>
      </x:c>
      <x:c r="F123" s="4" t="str">
        <x:v>自動実機テスト</x:v>
      </x:c>
      <x:c r="G123" s="7" t="str">
        <x:v>共通</x:v>
      </x:c>
      <x:c r="H123" s="7" t="str">
        <x:v>P0</x:v>
      </x:c>
      <x:c r="I123" s="4" t="str">
        <x:v>標準環境S1</x:v>
      </x:c>
      <x:c r="J123" s="4" t="str">
        <x:v>アプリ情報と配布メタデータを読取照合し、再起動後のUpdate IDも確認。</x:v>
      </x:c>
      <x:c r="K123" s="4" t="str">
        <x:v>同じ操作を両OSで個別に実施</x:v>
      </x:c>
      <x:c r="L123" s="29" t="str">
        <x:v>OK</x:v>
      </x:c>
      <x:c r="M123" s="29" t="str">
        <x:v>OK</x:v>
      </x:c>
      <x:c r="N123" s="30" t="str">
        <x:v>対象：1.0.5(12)／証跡照合日2026-10-26。実施：利用者操作＋ログ/クラウド照合。1.0.5(12)、production／runtime1.0.5、内蔵ID一致。既存OTAより新しい内蔵更新を実機選択。新OTAの保証ではない。</x:v>
      </x:c>
      <x:c r="O123" s="30" t="str">
        <x:v>対象：1.0.5(27)／証跡照合日2026-10-26。実施：利用者操作＋ログ/クラウド照合。1.0.5(27)、production／runtime1.0.5、内蔵ID一致。既存OTAより新しい内蔵更新を実機選択。新OTAの保証ではない。</x:v>
      </x:c>
      <x:c r="P123" s="30" t="str">
        <x:v>E01 / E05 / E17</x:v>
      </x:c>
      <x:c r="Q123" s="4" t="str">
        <x:v>実機UI操作＋読取API／端末ログ照合。専用ドライバー整備後に実施。</x:v>
      </x:c>
      <x:c r="R123" s="4" t="str">
        <x:v>27/12成果物の署名・ID/権限/接続・内蔵修正・更新優先順位を検査。非ゼロ実未送信や全UIを証明しない。 [E05]</x:v>
      </x:c>
      <x:c r="S123" s="4" t="str">
        <x:v>現行OK</x:v>
      </x:c>
      <x:c r="T123" s="4" t="str">
        <x:v>現行OK</x:v>
      </x:c>
      <x:c r="U123" s="4" t="str">
        <x:v>該当する過去の実機証跡を今回特定できず。未実施と断定せず未確認。</x:v>
      </x:c>
      <x:c r="V123" s="4" t="str">
        <x:v>該当する過去の実機証跡を今回特定できず。未実施と断定せず未確認。</x:v>
      </x:c>
      <x:c r="W123" s="4" t="str">
        <x:v>現行確認済み</x:v>
      </x:c>
      <x:c r="X123" s="4" t="str">
        <x:v>同じ成果物・OTA・本番差分が不変なら無目的に再実施しない。</x:v>
      </x:c>
      <x:c r="Y123" s="4" t="str">
        <x:v>A1 最優先</x:v>
      </x:c>
      <x:c r="Z123" s="4" t="str">
        <x:v>出荷入力から30生成API＋成果物内定義／時刻関数を検査し、実機内蔵IDと保存・破棄を照合。</x:v>
      </x:c>
    </x:row>
    <x:row r="124" ht="105" customHeight="1">
      <x:c r="A124" s="6" t="n">
        <x:v>117</x:v>
      </x:c>
      <x:c r="B124" s="4" t="str">
        <x:v>12 更新・旧版互換・出荷設定</x:v>
      </x:c>
      <x:c r="C124" s="4" t="str">
        <x:v>旧版</x:v>
      </x:c>
      <x:c r="D124" s="4" t="str">
        <x:v>旧版と現行バックエンドで保存・破棄</x:v>
      </x:c>
      <x:c r="E124" s="4" t="str">
        <x:v>旧版が対応する項目で動作し、必須項目変更によるAPI失敗や他データ破壊がない。</x:v>
      </x:c>
      <x:c r="F124" s="4" t="str">
        <x:v>手動実機テスト</x:v>
      </x:c>
      <x:c r="G124" s="7" t="str">
        <x:v>共通</x:v>
      </x:c>
      <x:c r="H124" s="7" t="str">
        <x:v>P0</x:v>
      </x:c>
      <x:c r="I124" s="4" t="str">
        <x:v>S2＋旧版専用端末。通常端末をダウングレードしない</x:v>
      </x:c>
      <x:c r="J124" s="4" t="str">
        <x:v>専用旧版1.0.4と同じバックエンドで保存・破棄をそれぞれ1件実施。</x:v>
      </x:c>
      <x:c r="K124" s="4" t="str">
        <x:v>同じ操作を両OSで個別に実施</x:v>
      </x:c>
      <x:c r="L124" s="29" t="str">
        <x:v>未実施</x:v>
      </x:c>
      <x:c r="M124" s="29" t="str">
        <x:v>未実施</x:v>
      </x:c>
      <x:c r="N124" s="30" t="str">
        <x:v>現行ビルドで当該手順の実施証跡なし。過去結果と参考試験は右欄。</x:v>
      </x:c>
      <x:c r="O124" s="30" t="str">
        <x:v>現行ビルドで当該手順の実施証跡なし。過去結果と参考試験は右欄。</x:v>
      </x:c>
      <x:c r="P124" s="30" t="str">
        <x:v>E06 / E11</x:v>
      </x:c>
      <x:c r="Q124" s="4" t="str">
        <x:v>画面観察・録画＋操作時刻・端末ログ／読取APIを照合。</x:v>
      </x:c>
      <x:c r="R124" s="4" t="str">
        <x:v>本番v2の旧新版形式API・再送・墓標・認可を14項目確認。UI操作やグループ画面全手順の合格を意味しない。 [E06,E11]</x:v>
      </x:c>
      <x:c r="S124" s="4" t="str">
        <x:v>API/ローカルのみ</x:v>
      </x:c>
      <x:c r="T124" s="4" t="str">
        <x:v>API/ローカルのみ</x:v>
      </x:c>
      <x:c r="U124" s="4" t="str">
        <x:v>該当する過去の実機証跡を今回特定できず。未実施と断定せず未確認。</x:v>
      </x:c>
      <x:c r="V124" s="4" t="str">
        <x:v>該当する過去の実機証跡を今回特定できず。未実施と断定せず未確認。</x:v>
      </x:c>
      <x:c r="W124" s="4" t="str">
        <x:v>通常回帰・未確認</x:v>
      </x:c>
      <x:c r="X124" s="4" t="str">
        <x:v>未確認の全件を必須にはしない。変更範囲・重大度・障害発生に応じて選択。</x:v>
      </x:c>
      <x:c r="Y124" s="4" t="str">
        <x:v>A1 最優先</x:v>
      </x:c>
      <x:c r="Z124" s="4" t="str">
        <x:v>出荷入力から30生成API＋成果物内定義／時刻関数を検査し、実機内蔵IDと保存・破棄を照合。</x:v>
      </x:c>
    </x:row>
    <x:row r="125" ht="105" customHeight="1">
      <x:c r="A125" s="6" t="n">
        <x:v>118</x:v>
      </x:c>
      <x:c r="B125" s="4" t="str">
        <x:v>12 更新・旧版互換・出荷設定</x:v>
      </x:c>
      <x:c r="C125" s="4" t="str">
        <x:v>互換</x:v>
      </x:c>
      <x:c r="D125" s="4" t="str">
        <x:v>旧新版の再送・停止後復旧</x:v>
      </x:c>
      <x:c r="E125" s="4" t="str">
        <x:v>元の所有者・記録ID・地点時刻を維持し、保存・破棄の最終状態が一致する。</x:v>
      </x:c>
      <x:c r="F125" s="4" t="str">
        <x:v>手動実機テスト</x:v>
      </x:c>
      <x:c r="G125" s="7" t="str">
        <x:v>共通</x:v>
      </x:c>
      <x:c r="H125" s="7" t="str">
        <x:v>P0</x:v>
      </x:c>
      <x:c r="I125" s="4" t="str">
        <x:v>S2＋旧版で作成した専用fixture</x:v>
      </x:c>
      <x:c r="J125" s="4" t="str">
        <x:v>旧版作成の未送信と停止未確定状態を新版で再開する。</x:v>
      </x:c>
      <x:c r="K125" s="4" t="str">
        <x:v>同じ操作を両OSで個別に実施</x:v>
      </x:c>
      <x:c r="L125" s="29" t="str">
        <x:v>未実施</x:v>
      </x:c>
      <x:c r="M125" s="29" t="str">
        <x:v>未実施</x:v>
      </x:c>
      <x:c r="N125" s="30" t="str">
        <x:v>現行ビルドで当該手順の実施証跡なし。過去結果と参考試験は右欄。</x:v>
      </x:c>
      <x:c r="O125" s="30" t="str">
        <x:v>現行ビルドで当該手順の実施証跡なし。過去結果と参考試験は右欄。</x:v>
      </x:c>
      <x:c r="P125" s="30" t="str">
        <x:v>E11 / E20</x:v>
      </x:c>
      <x:c r="Q125" s="4" t="str">
        <x:v>画面観察・録画＋操作時刻・端末ログ／読取APIを照合。</x:v>
      </x:c>
      <x:c r="R125" s="4" t="str">
        <x:v>ローカル80TS＋実SQLite12：冪等性・受信箱・停止復旧・再送／破棄を検証。現行実機の同条件試験ではない。 [E11,E20]</x:v>
      </x:c>
      <x:c r="S125" s="4" t="str">
        <x:v>API/ローカルのみ</x:v>
      </x:c>
      <x:c r="T125" s="4" t="str">
        <x:v>API/ローカルのみ</x:v>
      </x:c>
      <x:c r="U125" s="4" t="str">
        <x:v>該当する過去の実機証跡を今回特定できず。未実施と断定せず未確認。</x:v>
      </x:c>
      <x:c r="V125" s="4" t="str">
        <x:v>該当する過去の実機証跡を今回特定できず。未実施と断定せず未確認。</x:v>
      </x:c>
      <x:c r="W125" s="4" t="str">
        <x:v>既受容制限・後続</x:v>
      </x:c>
      <x:c r="X125" s="4" t="str">
        <x:v>非ゼロ実未送信の上書き直接証明などは既受容の限界。今回自動で出荷阻止へ変更しない。</x:v>
      </x:c>
      <x:c r="Y125" s="4" t="str">
        <x:v>A1 最優先</x:v>
      </x:c>
      <x:c r="Z125" s="4" t="str">
        <x:v>出荷入力から30生成API＋成果物内定義／時刻関数を検査し、実機内蔵IDと保存・破棄を照合。</x:v>
      </x:c>
    </x:row>
    <x:row r="126" ht="105" customHeight="1">
      <x:c r="A126" s="6" t="n">
        <x:v>119</x:v>
      </x:c>
      <x:c r="B126" s="4" t="str">
        <x:v>12 更新・旧版互換・出荷設定</x:v>
      </x:c>
      <x:c r="C126" s="4" t="str">
        <x:v>出荷設定</x:v>
      </x:c>
      <x:c r="D126" s="4" t="str">
        <x:v>本番接続・検証コード非混入</x:v>
      </x:c>
      <x:c r="E126" s="4" t="str">
        <x:v>通常版のIDと本番接続先が一致。診断用fixture注入や検証104専用UIが出荷されない。</x:v>
      </x:c>
      <x:c r="F126" s="4" t="str">
        <x:v>自動実機テスト</x:v>
      </x:c>
      <x:c r="G126" s="7" t="str">
        <x:v>共通</x:v>
      </x:c>
      <x:c r="H126" s="7" t="str">
        <x:v>P0</x:v>
      </x:c>
      <x:c r="I126" s="4" t="str">
        <x:v>標準環境S1</x:v>
      </x:c>
      <x:c r="J126" s="4" t="str">
        <x:v>通常版のID・接続先・機能表示を成果物検査結果と照合する。</x:v>
      </x:c>
      <x:c r="K126" s="4" t="str">
        <x:v>同じ操作を両OSで個別に実施</x:v>
      </x:c>
      <x:c r="L126" s="29" t="str">
        <x:v>OK</x:v>
      </x:c>
      <x:c r="M126" s="29" t="str">
        <x:v>OK</x:v>
      </x:c>
      <x:c r="N126" s="30" t="str">
        <x:v>対象：1.0.5(12)／証跡照合日2026-10-26。実施：利用者操作＋ログ/クラウド照合。1.0.5(12)の署名・本番接続・検証API/Pool/ハーネス非混入を成果物検査。通常版起動も確認。自動実機ドライバー実行ではない。</x:v>
      </x:c>
      <x:c r="O126" s="30" t="str">
        <x:v>対象：1.0.5(27)／証跡照合日2026-10-26。実施：利用者操作＋ログ/クラウド照合。1.0.5(27)の署名・本番接続・検証API/Pool/ハーネス非混入を成果物検査。通常版起動も確認。自動実機ドライバー実行ではない。</x:v>
      </x:c>
      <x:c r="P126" s="30" t="str">
        <x:v>E01 / E05</x:v>
      </x:c>
      <x:c r="Q126" s="4" t="str">
        <x:v>実機UI操作＋読取API／端末ログ照合。専用ドライバー整備後に実施。</x:v>
      </x:c>
      <x:c r="R126" s="4" t="str">
        <x:v>27/12成果物の署名・ID/権限/接続・内蔵修正・更新優先順位を検査。非ゼロ実未送信や全UIを証明しない。 [E05]</x:v>
      </x:c>
      <x:c r="S126" s="4" t="str">
        <x:v>現行OK</x:v>
      </x:c>
      <x:c r="T126" s="4" t="str">
        <x:v>現行OK</x:v>
      </x:c>
      <x:c r="U126" s="4" t="str">
        <x:v>該当する過去の実機証跡を今回特定できず。未実施と断定せず未確認。</x:v>
      </x:c>
      <x:c r="V126" s="4" t="str">
        <x:v>該当する過去の実機証跡を今回特定できず。未実施と断定せず未確認。</x:v>
      </x:c>
      <x:c r="W126" s="4" t="str">
        <x:v>現行確認済み</x:v>
      </x:c>
      <x:c r="X126" s="4" t="str">
        <x:v>同じ成果物・OTA・本番差分が不変なら無目的に再実施しない。</x:v>
      </x:c>
      <x:c r="Y126" s="4" t="str">
        <x:v>A1 最優先</x:v>
      </x:c>
      <x:c r="Z126" s="4" t="str">
        <x:v>出荷入力から30生成API＋成果物内定義／時刻関数を検査し、実機内蔵IDと保存・破棄を照合。</x:v>
      </x:c>
    </x:row>
    <x:row r="127" ht="105" customHeight="1">
      <x:c r="A127" s="6" t="n">
        <x:v>120</x:v>
      </x:c>
      <x:c r="B127" s="4" t="str">
        <x:v>12 更新・旧版互換・出荷設定</x:v>
      </x:c>
      <x:c r="C127" s="4" t="str">
        <x:v>更新案内</x:v>
      </x:c>
      <x:c r="D127" s="4" t="str">
        <x:v>最新版・最低対応ビルドの境界</x:v>
      </x:c>
      <x:c r="E127" s="4" t="str">
        <x:v>前者は「あとで」なし、次は「あとで」あり、最新版は案内なし。記録・保存を強制停止しない。</x:v>
      </x:c>
      <x:c r="F127" s="4" t="str">
        <x:v>自動実機テスト</x:v>
      </x:c>
      <x:c r="G127" s="7" t="str">
        <x:v>共通</x:v>
      </x:c>
      <x:c r="H127" s="7" t="str">
        <x:v>P1</x:v>
      </x:c>
      <x:c r="I127" s="4" t="str">
        <x:v>S2＋設定応答fixture。本番JSONは変更しない</x:v>
      </x:c>
      <x:c r="J127" s="4" t="str">
        <x:v>隔離した設定応答でcurrent&lt;minimum、minimum≦current&lt;latest、current=latestを確認。</x:v>
      </x:c>
      <x:c r="K127" s="4" t="str">
        <x:v>同じ操作を両OSで個別に実施</x:v>
      </x:c>
      <x:c r="L127" s="29" t="str">
        <x:v>未実施</x:v>
      </x:c>
      <x:c r="M127" s="29" t="str">
        <x:v>未実施</x:v>
      </x:c>
      <x:c r="N127" s="30" t="str">
        <x:v>現行ビルドで当該手順の実施証跡なし。過去結果と参考試験は右欄。</x:v>
      </x:c>
      <x:c r="O127" s="30" t="str">
        <x:v>現行ビルドで当該手順の実施証跡なし。過去結果と参考試験は右欄。</x:v>
      </x:c>
      <x:c r="P127" s="30" t="str">
        <x:v>未採番：該当証跡未特定</x:v>
      </x:c>
      <x:c r="Q127" s="4" t="str">
        <x:v>実機UI操作＋読取API／端末ログ照合。専用ドライバー整備後に実施。</x:v>
      </x:c>
      <x:c r="R127" s="4" t="str">
        <x:v>評価は対象の現行ビルドだけ。旧版/検証版結果を現行OKへ繰り上げない。</x:v>
      </x:c>
      <x:c r="S127" s="4" t="str">
        <x:v>未確認</x:v>
      </x:c>
      <x:c r="T127" s="4" t="str">
        <x:v>未確認</x:v>
      </x:c>
      <x:c r="U127" s="4" t="str">
        <x:v>該当する過去の実機証跡を今回特定できず。未実施と断定せず未確認。</x:v>
      </x:c>
      <x:c r="V127" s="4" t="str">
        <x:v>該当する過去の実機証跡を今回特定できず。未実施と断定せず未確認。</x:v>
      </x:c>
      <x:c r="W127" s="4" t="str">
        <x:v>変更/障害時に追試</x:v>
      </x:c>
      <x:c r="X127" s="4" t="str">
        <x:v>未確認の全件を必須にはしない。変更範囲・重大度・障害発生に応じて選択。</x:v>
      </x:c>
      <x:c r="Y127" s="4" t="str">
        <x:v>A2 次優先</x:v>
      </x:c>
      <x:c r="Z127" s="4" t="str">
        <x:v>安定した実機UIドライバーとfixtureを整備し、対象OSの評価欄へ証跡付きで記録。</x:v>
      </x:c>
    </x:row>
    <x:row r="128" ht="105" customHeight="1">
      <x:c r="A128" s="6" t="n">
        <x:v>121</x:v>
      </x:c>
      <x:c r="B128" s="4" t="str">
        <x:v>12 更新・旧版互換・出荷設定</x:v>
      </x:c>
      <x:c r="C128" s="4" t="str">
        <x:v>更新案内</x:v>
      </x:c>
      <x:c r="D128" s="4" t="str">
        <x:v>ストアリンクと実配布の一致</x:v>
      </x:c>
      <x:c r="E128" s="4" t="str">
        <x:v>未公開版を一般向けに要求しない。iOS公開確認後にJSONを更新し、閉鎖テストだけのAndroidを一般案内しない。</x:v>
      </x:c>
      <x:c r="F128" s="4" t="str">
        <x:v>手動実機テスト</x:v>
      </x:c>
      <x:c r="G128" s="7" t="str">
        <x:v>共通</x:v>
      </x:c>
      <x:c r="H128" s="7" t="str">
        <x:v>P1</x:v>
      </x:c>
      <x:c r="I128" s="4" t="str">
        <x:v>標準環境S1</x:v>
      </x:c>
      <x:c r="J128" s="4" t="str">
        <x:v>最新版案内からOSストアを開き、表示版と取得可能範囲を確認。</x:v>
      </x:c>
      <x:c r="K128" s="4" t="str">
        <x:v>同じ操作を両OSで個別に実施</x:v>
      </x:c>
      <x:c r="L128" s="29" t="str">
        <x:v>未実施</x:v>
      </x:c>
      <x:c r="M128" s="29" t="str">
        <x:v>未実施</x:v>
      </x:c>
      <x:c r="N128" s="30" t="str">
        <x:v>現行ビルドで当該手順の実施証跡なし。過去結果と参考試験は右欄。</x:v>
      </x:c>
      <x:c r="O128" s="30" t="str">
        <x:v>現行ビルドで当該手順の実施証跡なし。過去結果と参考試験は右欄。</x:v>
      </x:c>
      <x:c r="P128" s="30" t="str">
        <x:v>未採番：該当証跡未特定</x:v>
      </x:c>
      <x:c r="Q128" s="4" t="str">
        <x:v>画面観察・録画＋操作時刻・端末ログ／読取APIを照合。</x:v>
      </x:c>
      <x:c r="R128" s="4" t="str">
        <x:v>評価は対象の現行ビルドだけ。旧版/検証版結果を現行OKへ繰り上げない。</x:v>
      </x:c>
      <x:c r="S128" s="4" t="str">
        <x:v>未確認</x:v>
      </x:c>
      <x:c r="T128" s="4" t="str">
        <x:v>未確認</x:v>
      </x:c>
      <x:c r="U128" s="4" t="str">
        <x:v>該当する過去の実機証跡を今回特定できず。未実施と断定せず未確認。</x:v>
      </x:c>
      <x:c r="V128" s="4" t="str">
        <x:v>該当する過去の実機証跡を今回特定できず。未実施と断定せず未確認。</x:v>
      </x:c>
      <x:c r="W128" s="4" t="str">
        <x:v>変更/障害時に追試</x:v>
      </x:c>
      <x:c r="X128" s="4" t="str">
        <x:v>未確認の全件を必須にはしない。変更範囲・重大度・障害発生に応じて選択。</x:v>
      </x:c>
      <x:c r="Y128" s="4" t="str">
        <x:v>手動中心</x:v>
      </x:c>
      <x:c r="Z128" s="4" t="str">
        <x:v>実移動・権限ダイアログ・課金確認は手動。ログ/時刻/件数収集と比較を補助自動化。</x:v>
      </x:c>
    </x:row>
    <x:row r="129" ht="105" customHeight="1">
      <x:c r="A129" s="9" t="n">
        <x:v>122</x:v>
      </x:c>
      <x:c r="B129" s="10" t="str">
        <x:v>13 位置揺れ・既知問題の再現</x:v>
      </x:c>
      <x:c r="C129" s="10" t="str">
        <x:v>位置揺れ</x:v>
      </x:c>
      <x:c r="D129" s="10" t="str">
        <x:v>屋内静置10分の基準</x:v>
      </x:c>
      <x:c r="E129" s="10" t="str">
        <x:v>実測距離と精度を記録し、保存経路の重複がない。距離の合否閾値は未合意のため再現評価を保留にする。</x:v>
      </x:c>
      <x:c r="F129" s="10" t="str">
        <x:v>手動実機テスト</x:v>
      </x:c>
      <x:c r="G129" s="11" t="str">
        <x:v>共通</x:v>
      </x:c>
      <x:c r="H129" s="11" t="str">
        <x:v>後続</x:v>
      </x:c>
      <x:c r="I129" s="10" t="str">
        <x:v>S1＋外部時計</x:v>
      </x:c>
      <x:c r="J129" s="10" t="str">
        <x:v>USB状態・屋内条件を記録し10分静置。開始停止時刻と保存距離・精度を照合。</x:v>
      </x:c>
      <x:c r="K129" s="10" t="str">
        <x:v>静置誤差を0m固定で判定しない</x:v>
      </x:c>
      <x:c r="L129" s="29" t="str">
        <x:v>未実施</x:v>
      </x:c>
      <x:c r="M129" s="29" t="str">
        <x:v>未実施</x:v>
      </x:c>
      <x:c r="N129" s="30" t="str">
        <x:v>現行ビルドで当該手順の実施証跡なし。過去結果と参考試験は右欄。</x:v>
      </x:c>
      <x:c r="O129" s="30" t="str">
        <x:v>現行ビルドで当該手順の実施証跡なし。過去結果と参考試験は右欄。</x:v>
      </x:c>
      <x:c r="P129" s="30" t="str">
        <x:v>E14</x:v>
      </x:c>
      <x:c r="Q129" s="4" t="str">
        <x:v>画面観察・録画＋操作時刻・端末ログ／読取APIを照合。</x:v>
      </x:c>
      <x:c r="R129" s="4" t="str">
        <x:v>評価は対象の現行ビルドだけ。旧版/検証版結果を現行OKへ繰り上げない。</x:v>
      </x:c>
      <x:c r="S129" s="4" t="str">
        <x:v>未確認</x:v>
      </x:c>
      <x:c r="T129" s="4" t="str">
        <x:v>旧版/検証版のみ</x:v>
      </x:c>
      <x:c r="U129" s="4" t="str">
        <x:v>該当する過去の実機証跡を今回特定できず。未実施と断定せず未確認。</x:v>
      </x:c>
      <x:c r="V129" s="4" t="str">
        <x:v>検証104品質V2：屋内10分53秒、42保存地点・約26m。旧表示6:17は間引き由来で、修正版表示10:53を後に確認。距離異常未再現。 [E14]</x:v>
      </x:c>
      <x:c r="W129" s="4" t="str">
        <x:v>後続再現／拡張検証</x:v>
      </x:c>
      <x:c r="X129" s="4" t="str">
        <x:v>未確認の全件を必須にはしない。変更範囲・重大度・障害発生に応じて選択。</x:v>
      </x:c>
      <x:c r="Y129" s="4" t="str">
        <x:v>後続</x:v>
      </x:c>
      <x:c r="Z129" s="4" t="str">
        <x:v>既知2問題は複数回の実機再現を先行。時刻同期・録画・匿名化した遅延/相対距離の収集だけを自動化。除外条件を自動採用しない。</x:v>
      </x:c>
    </x:row>
    <x:row r="130" ht="105" customHeight="1">
      <x:c r="A130" s="6" t="n">
        <x:v>123</x:v>
      </x:c>
      <x:c r="B130" s="4" t="str">
        <x:v>13 位置揺れ・既知問題の再現</x:v>
      </x:c>
      <x:c r="C130" s="4" t="str">
        <x:v>位置揺れ</x:v>
      </x:c>
      <x:c r="D130" s="4" t="str">
        <x:v>低速歩行を除外しない</x:v>
      </x:c>
      <x:c r="E130" s="4" t="str">
        <x:v>移動した区間を揺れとして全除外せず、経路と実移動を照合できる。許容誤差は実測条件と併記する。</x:v>
      </x:c>
      <x:c r="F130" s="4" t="str">
        <x:v>手動実機テスト</x:v>
      </x:c>
      <x:c r="G130" s="7" t="str">
        <x:v>共通</x:v>
      </x:c>
      <x:c r="H130" s="7" t="str">
        <x:v>P1</x:v>
      </x:c>
      <x:c r="I130" s="4" t="str">
        <x:v>標準環境S1</x:v>
      </x:c>
      <x:c r="J130" s="4" t="str">
        <x:v>安全な屋外を普段より遅く30〜50m歩き保存。時刻・速度・精度・地点を照合。</x:v>
      </x:c>
      <x:c r="K130" s="4" t="str">
        <x:v>同じ操作を両OSで個別に実施</x:v>
      </x:c>
      <x:c r="L130" s="29" t="str">
        <x:v>未実施</x:v>
      </x:c>
      <x:c r="M130" s="29" t="str">
        <x:v>未実施</x:v>
      </x:c>
      <x:c r="N130" s="30" t="str">
        <x:v>現行ビルドで当該手順の実施証跡なし。過去結果と参考試験は右欄。</x:v>
      </x:c>
      <x:c r="O130" s="30" t="str">
        <x:v>現行ビルドで当該手順の実施証跡なし。過去結果と参考試験は右欄。</x:v>
      </x:c>
      <x:c r="P130" s="30" t="str">
        <x:v>E14</x:v>
      </x:c>
      <x:c r="Q130" s="4" t="str">
        <x:v>画面観察・録画＋操作時刻・端末ログ／読取APIを照合。</x:v>
      </x:c>
      <x:c r="R130" s="4" t="str">
        <x:v>評価は対象の現行ビルドだけ。旧版/検証版結果を現行OKへ繰り上げない。</x:v>
      </x:c>
      <x:c r="S130" s="4" t="str">
        <x:v>未確認</x:v>
      </x:c>
      <x:c r="T130" s="4" t="str">
        <x:v>旧版/検証版のみ</x:v>
      </x:c>
      <x:c r="U130" s="4" t="str">
        <x:v>該当する過去の実機証跡を今回特定できず。未実施と断定せず未確認。</x:v>
      </x:c>
      <x:c r="V130" s="4" t="str">
        <x:v>検証104品質V2：低速歩行6地点73.056m、周回6地点94.828m、双方経路あり。詳細品質は各2点欠測。実験除外は出荷経路へ採用しない。 [E14]</x:v>
      </x:c>
      <x:c r="W130" s="4" t="str">
        <x:v>後続再現／拡張検証</x:v>
      </x:c>
      <x:c r="X130" s="4" t="str">
        <x:v>未確認の全件を必須にはしない。変更範囲・重大度・障害発生に応じて選択。</x:v>
      </x:c>
      <x:c r="Y130" s="4" t="str">
        <x:v>後続</x:v>
      </x:c>
      <x:c r="Z130" s="4" t="str">
        <x:v>既知2問題は複数回の実機再現を先行。時刻同期・録画・匿名化した遅延/相対距離の収集だけを自動化。除外条件を自動採用しない。</x:v>
      </x:c>
    </x:row>
    <x:row r="131" ht="105" customHeight="1">
      <x:c r="A131" s="6" t="n">
        <x:v>124</x:v>
      </x:c>
      <x:c r="B131" s="4" t="str">
        <x:v>13 位置揺れ・既知問題の再現</x:v>
      </x:c>
      <x:c r="C131" s="4" t="str">
        <x:v>位置揺れ</x:v>
      </x:c>
      <x:c r="D131" s="4" t="str">
        <x:v>周回・往復を除外しない</x:v>
      </x:c>
      <x:c r="E131" s="4" t="str">
        <x:v>終点が始点に近いことだけで移動区間を全除外しない。経路線が実経路と対応する。</x:v>
      </x:c>
      <x:c r="F131" s="4" t="str">
        <x:v>手動実機テスト</x:v>
      </x:c>
      <x:c r="G131" s="7" t="str">
        <x:v>共通</x:v>
      </x:c>
      <x:c r="H131" s="7" t="str">
        <x:v>P1</x:v>
      </x:c>
      <x:c r="I131" s="4" t="str">
        <x:v>標準環境S1</x:v>
      </x:c>
      <x:c r="J131" s="4" t="str">
        <x:v>安全な場所を1〜2分で一周または往復し、元の場所へ戻って保存。</x:v>
      </x:c>
      <x:c r="K131" s="4" t="str">
        <x:v>同じ操作を両OSで個別に実施</x:v>
      </x:c>
      <x:c r="L131" s="29" t="str">
        <x:v>未実施</x:v>
      </x:c>
      <x:c r="M131" s="29" t="str">
        <x:v>未実施</x:v>
      </x:c>
      <x:c r="N131" s="30" t="str">
        <x:v>現行ビルドで当該手順の実施証跡なし。過去結果と参考試験は右欄。</x:v>
      </x:c>
      <x:c r="O131" s="30" t="str">
        <x:v>現行ビルドで当該手順の実施証跡なし。過去結果と参考試験は右欄。</x:v>
      </x:c>
      <x:c r="P131" s="30" t="str">
        <x:v>E14</x:v>
      </x:c>
      <x:c r="Q131" s="4" t="str">
        <x:v>画面観察・録画＋操作時刻・端末ログ／読取APIを照合。</x:v>
      </x:c>
      <x:c r="R131" s="4" t="str">
        <x:v>評価は対象の現行ビルドだけ。旧版/検証版結果を現行OKへ繰り上げない。</x:v>
      </x:c>
      <x:c r="S131" s="4" t="str">
        <x:v>未確認</x:v>
      </x:c>
      <x:c r="T131" s="4" t="str">
        <x:v>旧版/検証版のみ</x:v>
      </x:c>
      <x:c r="U131" s="4" t="str">
        <x:v>該当する過去の実機証跡を今回特定できず。未実施と断定せず未確認。</x:v>
      </x:c>
      <x:c r="V131" s="4" t="str">
        <x:v>検証104品質V2：低速歩行6地点73.056m、周回6地点94.828m、双方経路あり。詳細品質は各2点欠測。実験除外は出荷経路へ採用しない。 [E14]</x:v>
      </x:c>
      <x:c r="W131" s="4" t="str">
        <x:v>後続再現／拡張検証</x:v>
      </x:c>
      <x:c r="X131" s="4" t="str">
        <x:v>未確認の全件を必須にはしない。変更範囲・重大度・障害発生に応じて選択。</x:v>
      </x:c>
      <x:c r="Y131" s="4" t="str">
        <x:v>後続</x:v>
      </x:c>
      <x:c r="Z131" s="4" t="str">
        <x:v>既知2問題は複数回の実機再現を先行。時刻同期・録画・匿名化した遅延/相対距離の収集だけを自動化。除外条件を自動採用しない。</x:v>
      </x:c>
    </x:row>
    <x:row r="132" ht="105" customHeight="1">
      <x:c r="A132" s="6" t="n">
        <x:v>125</x:v>
      </x:c>
      <x:c r="B132" s="4" t="str">
        <x:v>13 位置揺れ・既知問題の再現</x:v>
      </x:c>
      <x:c r="C132" s="4" t="str">
        <x:v>既知問題</x:v>
      </x:c>
      <x:c r="D132" s="4" t="str">
        <x:v>長時間静置の異常距離再現</x:v>
      </x:c>
      <x:c r="E132" s="4" t="str">
        <x:v>約13km事象の再現有無を記録。再現したらログを保持し対策判断へ回す。未再現を恒久解決としない。</x:v>
      </x:c>
      <x:c r="F132" s="4" t="str">
        <x:v>手動実機テスト</x:v>
      </x:c>
      <x:c r="G132" s="7" t="str">
        <x:v>共通</x:v>
      </x:c>
      <x:c r="H132" s="7" t="str">
        <x:v>後続</x:v>
      </x:c>
      <x:c r="I132" s="4" t="str">
        <x:v>専用検証データ・同条件で複数回</x:v>
      </x:c>
      <x:c r="J132" s="4" t="str">
        <x:v>同じ端末条件で2時間静置を複数回行い、全ログと実測距離を比較する。</x:v>
      </x:c>
      <x:c r="K132" s="4" t="str">
        <x:v>結果は保留または再現NG。出荷済み修正の合格実績と分離</x:v>
      </x:c>
      <x:c r="L132" s="29" t="str">
        <x:v>未実施</x:v>
      </x:c>
      <x:c r="M132" s="29" t="str">
        <x:v>未実施</x:v>
      </x:c>
      <x:c r="N132" s="30" t="str">
        <x:v>現行ビルドで当該手順の実施証跡なし。過去結果と参考試験は右欄。</x:v>
      </x:c>
      <x:c r="O132" s="30" t="str">
        <x:v>現行ビルドで当該手順の実施証跡なし。過去結果と参考試験は右欄。</x:v>
      </x:c>
      <x:c r="P132" s="30" t="str">
        <x:v>E07 / E14</x:v>
      </x:c>
      <x:c r="Q132" s="4" t="str">
        <x:v>画面観察・録画＋操作時刻・端末ログ／読取APIを照合。</x:v>
      </x:c>
      <x:c r="R132" s="4" t="str">
        <x:v>評価は対象の現行ビルドだけ。旧版/検証版結果を現行OKへ繰り上げない。</x:v>
      </x:c>
      <x:c r="S132" s="4" t="str">
        <x:v>未確認</x:v>
      </x:c>
      <x:c r="T132" s="4" t="str">
        <x:v>旧版/検証版のみ</x:v>
      </x:c>
      <x:c r="U132" s="4" t="str">
        <x:v>該当する過去の実機証跡を今回特定できず。未実施と断定せず未確認。</x:v>
      </x:c>
      <x:c r="V132" s="4" t="str">
        <x:v>過去の異常（NG）：検証104で静置中13,330m、本人は置いたままと回答。その後の33m等の静置で解消とはしない。再現条件・安全な除外条件は未確立。 [E07,E14]</x:v>
      </x:c>
      <x:c r="W132" s="4" t="str">
        <x:v>後続再現／拡張検証</x:v>
      </x:c>
      <x:c r="X132" s="4" t="str">
        <x:v>未確認の全件を必須にはしない。変更範囲・重大度・障害発生に応じて選択。</x:v>
      </x:c>
      <x:c r="Y132" s="4" t="str">
        <x:v>後続</x:v>
      </x:c>
      <x:c r="Z132" s="4" t="str">
        <x:v>既知2問題は複数回の実機再現を先行。時刻同期・録画・匿名化した遅延/相対距離の収集だけを自動化。除外条件を自動採用しない。</x:v>
      </x:c>
    </x:row>
    <x:row r="133" ht="105" customHeight="1">
      <x:c r="A133" s="6" t="n">
        <x:v>126</x:v>
      </x:c>
      <x:c r="B133" s="4" t="str">
        <x:v>13 位置揺れ・既知問題の再現</x:v>
      </x:c>
      <x:c r="C133" s="4" t="str">
        <x:v>既知問題</x:v>
      </x:c>
      <x:c r="D133" s="4" t="str">
        <x:v>iOS数分遅延の再現</x:v>
      </x:c>
      <x:c r="E133" s="4" t="str">
        <x:v>最大約4分39秒の再現有無と最大値を記録。測位間隔・送信遅延・API応答を分ける。未合意SLAは保留。</x:v>
      </x:c>
      <x:c r="F133" s="4" t="str">
        <x:v>手動実機テスト</x:v>
      </x:c>
      <x:c r="G133" s="7" t="str">
        <x:v>iOS</x:v>
      </x:c>
      <x:c r="H133" s="7" t="str">
        <x:v>後続</x:v>
      </x:c>
      <x:c r="I133" s="4" t="str">
        <x:v>S1＋時刻同期・API観測</x:v>
      </x:c>
      <x:c r="J133" s="4" t="str">
        <x:v>USBなし・無充電・ロック65分を複数回実施し、測位時刻・受信時刻・共有更新を照合。</x:v>
      </x:c>
      <x:c r="K133" s="4" t="str">
        <x:v>USB接続試験を未接続試験として扱わない</x:v>
      </x:c>
      <x:c r="L133" s="29" t="str">
        <x:v>未実施</x:v>
      </x:c>
      <x:c r="M133" s="29" t="str">
        <x:v>対象外</x:v>
      </x:c>
      <x:c r="N133" s="30" t="str">
        <x:v>現行ビルドで当該手順の実施証跡なし。過去結果と参考試験は右欄。</x:v>
      </x:c>
      <x:c r="O133" s="30" t="str">
        <x:v>非対象</x:v>
      </x:c>
      <x:c r="P133" s="30" t="str">
        <x:v>E18 / E08</x:v>
      </x:c>
      <x:c r="Q133" s="4" t="str">
        <x:v>画面観察・録画＋操作時刻・端末ログ／読取APIを照合。</x:v>
      </x:c>
      <x:c r="R133" s="4" t="str">
        <x:v>評価は対象の現行ビルドだけ。旧版/検証版結果を現行OKへ繰り上げない。</x:v>
      </x:c>
      <x:c r="S133" s="4" t="str">
        <x:v>旧版/検証版のみ</x:v>
      </x:c>
      <x:c r="T133" s="4" t="str">
        <x:v>非対象</x:v>
      </x:c>
      <x:c r="U133" s="4" t="str">
        <x:v>過去の異常（NG）：旧iOS検証104で278.818秒の送信遅延を実測。後のUSBなし試験は最大30.832秒で未再現。根本原因未特定。 [E18,E08]</x:v>
      </x:c>
      <x:c r="V133" s="4" t="str">
        <x:v>該当する過去の実機証跡を今回特定できず。未実施と断定せず未確認。</x:v>
      </x:c>
      <x:c r="W133" s="4" t="str">
        <x:v>後続再現／拡張検証</x:v>
      </x:c>
      <x:c r="X133" s="4" t="str">
        <x:v>未確認の全件を必須にはしない。変更範囲・重大度・障害発生に応じて選択。</x:v>
      </x:c>
      <x:c r="Y133" s="4" t="str">
        <x:v>後続</x:v>
      </x:c>
      <x:c r="Z133" s="4" t="str">
        <x:v>既知2問題は複数回の実機再現を先行。時刻同期・録画・匿名化した遅延/相対距離の収集だけを自動化。除外条件を自動採用しない。</x:v>
      </x:c>
    </x:row>
    <x:row r="134" ht="105" customHeight="1">
      <x:c r="A134" s="6" t="n">
        <x:v>127</x:v>
      </x:c>
      <x:c r="B134" s="4" t="str">
        <x:v>13 位置揺れ・既知問題の再現</x:v>
      </x:c>
      <x:c r="C134" s="4" t="str">
        <x:v>判定情報</x:v>
      </x:c>
      <x:c r="D134" s="4" t="str">
        <x:v>センサー欠測・精度フラグ0</x:v>
      </x:c>
      <x:c r="E134" s="4" t="str">
        <x:v>精度0を欠測と混同せず、移動の裏付け不足だけでGPS地点を無条件除外しない。</x:v>
      </x:c>
      <x:c r="F134" s="4" t="str">
        <x:v>自動実機テスト</x:v>
      </x:c>
      <x:c r="G134" s="7" t="str">
        <x:v>Android</x:v>
      </x:c>
      <x:c r="H134" s="7" t="str">
        <x:v>後続</x:v>
      </x:c>
      <x:c r="I134" s="4" t="str">
        <x:v>S2＋対応する診断取得可能な検証版</x:v>
      </x:c>
      <x:c r="J134" s="4" t="str">
        <x:v>専用ログで精度フラグ0、重力相当値、センサー欠測を照合。</x:v>
      </x:c>
      <x:c r="K134" s="4" t="str">
        <x:v>診断を削除した出荷版で情報不足なら保留。追加配信は別承認</x:v>
      </x:c>
      <x:c r="L134" s="29" t="str">
        <x:v>対象外</x:v>
      </x:c>
      <x:c r="M134" s="29" t="str">
        <x:v>未実施</x:v>
      </x:c>
      <x:c r="N134" s="30" t="str">
        <x:v>非対象</x:v>
      </x:c>
      <x:c r="O134" s="30" t="str">
        <x:v>現行ビルドで当該手順の実施証跡なし。過去結果と参考試験は右欄。</x:v>
      </x:c>
      <x:c r="P134" s="30" t="str">
        <x:v>E14</x:v>
      </x:c>
      <x:c r="Q134" s="4" t="str">
        <x:v>実機UI操作＋読取API／端末ログ照合。専用ドライバー整備後に実施。</x:v>
      </x:c>
      <x:c r="R134" s="4" t="str">
        <x:v>評価は対象の現行ビルドだけ。旧版/検証版結果を現行OKへ繰り上げない。</x:v>
      </x:c>
      <x:c r="S134" s="4" t="str">
        <x:v>非対象</x:v>
      </x:c>
      <x:c r="T134" s="4" t="str">
        <x:v>旧版/検証版のみ</x:v>
      </x:c>
      <x:c r="U134" s="4" t="str">
        <x:v>該当する過去の実機証跡を今回特定できず。未実施と断定せず未確認。</x:v>
      </x:c>
      <x:c r="V134" s="4" t="str">
        <x:v>検証104の品質診断で精度フラグ0・重力相当値・代替センサーを比較。詳細センサー診断は出荷から除去。通常版での再採取はできない。 [E14]</x:v>
      </x:c>
      <x:c r="W134" s="4" t="str">
        <x:v>後続再現／拡張検証</x:v>
      </x:c>
      <x:c r="X134" s="4" t="str">
        <x:v>未確認の全件を必須にはしない。変更範囲・重大度・障害発生に応じて選択。</x:v>
      </x:c>
      <x:c r="Y134" s="4" t="str">
        <x:v>後続</x:v>
      </x:c>
      <x:c r="Z134" s="4" t="str">
        <x:v>既知2問題は複数回の実機再現を先行。時刻同期・録画・匿名化した遅延/相対距離の収集だけを自動化。除外条件を自動採用しない。</x:v>
      </x:c>
    </x:row>
    <x:row r="135" ht="112" customHeight="1">
      <x:c r="A135" s="4" t="n">
        <x:v>128</x:v>
      </x:c>
      <x:c r="B135" s="4" t="str">
        <x:v>14 管理者・インストール版一覧</x:v>
      </x:c>
      <x:c r="C135" s="4" t="str">
        <x:v>管理者導線</x:v>
      </x:c>
      <x:c r="D135" s="4" t="str">
        <x:v>管理者ホームから一覧を開く</x:v>
      </x:c>
      <x:c r="E135" s="4" t="str">
        <x:v>管理者にだけボタンがあり、一覧を開ける。</x:v>
      </x:c>
      <x:c r="F135" s="4" t="str">
        <x:v>手動実機テスト</x:v>
      </x:c>
      <x:c r="G135" s="4" t="str">
        <x:v>共通</x:v>
      </x:c>
      <x:c r="H135" s="4" t="str">
        <x:v>P1</x:v>
      </x:c>
      <x:c r="I135" s="4" t="str">
        <x:v>記録・共有停止中。通常版の削除・データ消去・新規記録はしない。</x:v>
      </x:c>
      <x:c r="J135" s="4" t="str">
        <x:v>管理者でホームから一覧を開く。</x:v>
      </x:c>
      <x:c r="K135" s="4" t="str">
        <x:v>同じruntimeでもOSごとのOTA IDを区別。</x:v>
      </x:c>
      <x:c r="L135" s="32" t="str">
        <x:v>OK</x:v>
      </x:c>
      <x:c r="M135" s="32" t="str">
        <x:v>OK</x:v>
      </x:c>
      <x:c r="N135" s="32" t="str">
        <x:v>1.0.5(12) + OTA 01a1782e-12e2-76d1-b530-e8cb54c45716／2026-10-26 利用者報告。両OSで管理者として一覧を表示。 [E22]</x:v>
      </x:c>
      <x:c r="O135" s="32" t="str">
        <x:v>1.0.5(27) + OTA 01a1782e-12e2-78ef-a5ad-f48aa949961b／2026-10-26 利用者報告。両OSで管理者として一覧を表示。 [E22]</x:v>
      </x:c>
      <x:c r="P135" s="32" t="str">
        <x:v>E21 / E22</x:v>
      </x:c>
      <x:c r="Q135" s="4" t="str">
        <x:v>手動の報告とローカル自動／成果物検査を分ける。</x:v>
      </x:c>
      <x:c r="R135" s="4" t="str">
        <x:v>両OSで管理者として一覧を表示。</x:v>
      </x:c>
      <x:c r="S135" s="4" t="str">
        <x:v>現行OK</x:v>
      </x:c>
      <x:c r="T135" s="4" t="str">
        <x:v>現行OK</x:v>
      </x:c>
      <x:c r="U135" s="4" t="str">
        <x:v>過去結果は既存Noを参照。</x:v>
      </x:c>
      <x:c r="V135" s="4" t="str">
        <x:v>過去結果は既存Noを参照。</x:v>
      </x:c>
      <x:c r="W135" s="4" t="str">
        <x:v>現行確認済み</x:v>
      </x:c>
      <x:c r="X135" s="4" t="str">
        <x:v>今回の追加機能だけの結果。既存ケースの旧合格を新OTAで再実施した扱いにしない。</x:v>
      </x:c>
      <x:c r="Y135" s="4" t="str">
        <x:v>手動中心</x:v>
      </x:c>
      <x:c r="Z135" s="4" t="str">
        <x:v>両OSで画面を確認し対象Update IDと利用者報告を残す。</x:v>
      </x:c>
    </x:row>
    <x:row r="136" ht="112" customHeight="1">
      <x:c r="A136" s="4" t="n">
        <x:v>129</x:v>
      </x:c>
      <x:c r="B136" s="4" t="str">
        <x:v>14 管理者・インストール版一覧</x:v>
      </x:c>
      <x:c r="C136" s="4" t="str">
        <x:v>表示項目</x:v>
      </x:c>
      <x:c r="D136" s="4" t="str">
        <x:v>5列と識別情報の非表示</x:v>
      </x:c>
      <x:c r="E136" s="4" t="str">
        <x:v>ユーザー名・版・ビルド・OS・JST日時の5列。userId/email列なし。</x:v>
      </x:c>
      <x:c r="F136" s="4" t="str">
        <x:v>手動実機テスト</x:v>
      </x:c>
      <x:c r="G136" s="4" t="str">
        <x:v>共通</x:v>
      </x:c>
      <x:c r="H136" s="4" t="str">
        <x:v>P1</x:v>
      </x:c>
      <x:c r="I136" s="4" t="str">
        <x:v>記録・共有停止中。通常版の削除・データ消去・新規記録はしない。</x:v>
      </x:c>
      <x:c r="J136" s="4" t="str">
        <x:v>列を横にスクロールして全項目を確認。</x:v>
      </x:c>
      <x:c r="K136" s="4" t="str">
        <x:v>同じruntimeでもOSごとのOTA IDを区別。</x:v>
      </x:c>
      <x:c r="L136" s="32" t="str">
        <x:v>OK</x:v>
      </x:c>
      <x:c r="M136" s="32" t="str">
        <x:v>保留</x:v>
      </x:c>
      <x:c r="N136" s="32" t="str">
        <x:v>1.0.5(12) + OTA 01a1782e-12e2-76d1-b530-e8cb54c45716／2026-10-26 利用者報告。iOSは5列確認。Androidは一覧表示のみの報告で全列の明示確認はない。 [E22]</x:v>
      </x:c>
      <x:c r="O136" s="32" t="str">
        <x:v>1.0.5(27) + OTA 01a1782e-12e2-78ef-a5ad-f48aa949961b／2026-10-26 利用者報告。iOSは5列確認。Androidは一覧表示のみの報告で全列の明示確認はない。 [E22]</x:v>
      </x:c>
      <x:c r="P136" s="32" t="str">
        <x:v>E21 / E22</x:v>
      </x:c>
      <x:c r="Q136" s="4" t="str">
        <x:v>手動の報告とローカル自動／成果物検査を分ける。</x:v>
      </x:c>
      <x:c r="R136" s="4" t="str">
        <x:v>iOSは5列確認。Androidは一覧表示のみの報告で全列の明示確認はない。</x:v>
      </x:c>
      <x:c r="S136" s="4" t="str">
        <x:v>現行OK</x:v>
      </x:c>
      <x:c r="T136" s="4" t="str">
        <x:v>現行部分確認</x:v>
      </x:c>
      <x:c r="U136" s="4" t="str">
        <x:v>過去結果は既存Noを参照。</x:v>
      </x:c>
      <x:c r="V136" s="4" t="str">
        <x:v>過去結果は既存Noを参照。</x:v>
      </x:c>
      <x:c r="W136" s="4" t="str">
        <x:v>部分確認・未確認を継続</x:v>
      </x:c>
      <x:c r="X136" s="4" t="str">
        <x:v>今回の追加機能だけの結果。既存ケースの旧合格を新OTAで再実施した扱いにしない。</x:v>
      </x:c>
      <x:c r="Y136" s="4" t="str">
        <x:v>手動中心</x:v>
      </x:c>
      <x:c r="Z136" s="4" t="str">
        <x:v>両OSで画面を確認し対象Update IDと利用者報告を残す。</x:v>
      </x:c>
    </x:row>
    <x:row r="137" ht="112" customHeight="1">
      <x:c r="A137" s="4" t="n">
        <x:v>130</x:v>
      </x:c>
      <x:c r="B137" s="4" t="str">
        <x:v>14 管理者・インストール版一覧</x:v>
      </x:c>
      <x:c r="C137" s="4" t="str">
        <x:v>並び順</x:v>
      </x:c>
      <x:c r="D137" s="4" t="str">
        <x:v>JST表示と起動日時の降順</x:v>
      </x:c>
      <x:c r="E137" s="4" t="str">
        <x:v>日時はJSTで、新しい順に表示される。</x:v>
      </x:c>
      <x:c r="F137" s="4" t="str">
        <x:v>手動実機テスト</x:v>
      </x:c>
      <x:c r="G137" s="4" t="str">
        <x:v>共通</x:v>
      </x:c>
      <x:c r="H137" s="4" t="str">
        <x:v>P1</x:v>
      </x:c>
      <x:c r="I137" s="4" t="str">
        <x:v>記録・共有停止中。通常版の削除・データ消去・新規記録はしない。</x:v>
      </x:c>
      <x:c r="J137" s="4" t="str">
        <x:v>複数行の日時表示と順序を確認。</x:v>
      </x:c>
      <x:c r="K137" s="4" t="str">
        <x:v>同じruntimeでもOSごとのOTA IDを区別。</x:v>
      </x:c>
      <x:c r="L137" s="32" t="str">
        <x:v>OK</x:v>
      </x:c>
      <x:c r="M137" s="32" t="str">
        <x:v>未実施</x:v>
      </x:c>
      <x:c r="N137" s="32" t="str">
        <x:v>1.0.5(12) + OTA 01a1782e-12e2-76d1-b530-e8cb54c45716／2026-10-26 利用者報告。iOSはJST降順を利用者が確認。Androidの同条件は未確認。 [E22]</x:v>
      </x:c>
      <x:c r="O137" s="32" t="str">
        <x:v>1.0.5(27) + OTA 01a1782e-12e2-78ef-a5ad-f48aa949961b／2026-10-26 利用者報告。iOSはJST降順を利用者が確認。Androidの同条件は未確認。 [E22]</x:v>
      </x:c>
      <x:c r="P137" s="32" t="str">
        <x:v>E21 / E22</x:v>
      </x:c>
      <x:c r="Q137" s="4" t="str">
        <x:v>手動の報告とローカル自動／成果物検査を分ける。</x:v>
      </x:c>
      <x:c r="R137" s="4" t="str">
        <x:v>iOSはJST降順を利用者が確認。Androidの同条件は未確認。</x:v>
      </x:c>
      <x:c r="S137" s="4" t="str">
        <x:v>現行OK</x:v>
      </x:c>
      <x:c r="T137" s="4" t="str">
        <x:v>未確認</x:v>
      </x:c>
      <x:c r="U137" s="4" t="str">
        <x:v>過去結果は既存Noを参照。</x:v>
      </x:c>
      <x:c r="V137" s="4" t="str">
        <x:v>過去結果は既存Noを参照。</x:v>
      </x:c>
      <x:c r="W137" s="4" t="str">
        <x:v>部分確認・未確認を継続</x:v>
      </x:c>
      <x:c r="X137" s="4" t="str">
        <x:v>今回の追加機能だけの結果。既存ケースの旧合格を新OTAで再実施した扱いにしない。</x:v>
      </x:c>
      <x:c r="Y137" s="4" t="str">
        <x:v>手動中心</x:v>
      </x:c>
      <x:c r="Z137" s="4" t="str">
        <x:v>両OSで画面を確認し対象Update IDと利用者報告を残す。</x:v>
      </x:c>
    </x:row>
    <x:row r="138" ht="112" customHeight="1">
      <x:c r="A138" s="4" t="n">
        <x:v>131</x:v>
      </x:c>
      <x:c r="B138" s="4" t="str">
        <x:v>14 管理者・インストール版一覧</x:v>
      </x:c>
      <x:c r="C138" s="4" t="str">
        <x:v>表操作</x:v>
      </x:c>
      <x:c r="D138" s="4" t="str">
        <x:v>横スクロール</x:v>
      </x:c>
      <x:c r="E138" s="4" t="str">
        <x:v>右端の日時まで横に移動できる。</x:v>
      </x:c>
      <x:c r="F138" s="4" t="str">
        <x:v>手動実機テスト</x:v>
      </x:c>
      <x:c r="G138" s="4" t="str">
        <x:v>共通</x:v>
      </x:c>
      <x:c r="H138" s="4" t="str">
        <x:v>P1</x:v>
      </x:c>
      <x:c r="I138" s="4" t="str">
        <x:v>記録・共有停止中。通常版の削除・データ消去・新規記録はしない。</x:v>
      </x:c>
      <x:c r="J138" s="4" t="str">
        <x:v>一覧を左右へスクロール。</x:v>
      </x:c>
      <x:c r="K138" s="4" t="str">
        <x:v>同じruntimeでもOSごとのOTA IDを区別。</x:v>
      </x:c>
      <x:c r="L138" s="32" t="str">
        <x:v>OK</x:v>
      </x:c>
      <x:c r="M138" s="32" t="str">
        <x:v>未実施</x:v>
      </x:c>
      <x:c r="N138" s="32" t="str">
        <x:v>1.0.5(12) + OTA 01a1782e-12e2-76d1-b530-e8cb54c45716／2026-10-26 利用者報告。iOSは確認済み。Androidは操作結果の明示報告なし。 [E22]</x:v>
      </x:c>
      <x:c r="O138" s="32" t="str">
        <x:v>1.0.5(27) + OTA 01a1782e-12e2-78ef-a5ad-f48aa949961b／2026-10-26 利用者報告。iOSは確認済み。Androidは操作結果の明示報告なし。 [E22]</x:v>
      </x:c>
      <x:c r="P138" s="32" t="str">
        <x:v>E21 / E22</x:v>
      </x:c>
      <x:c r="Q138" s="4" t="str">
        <x:v>手動の報告とローカル自動／成果物検査を分ける。</x:v>
      </x:c>
      <x:c r="R138" s="4" t="str">
        <x:v>iOSは確認済み。Androidは操作結果の明示報告なし。</x:v>
      </x:c>
      <x:c r="S138" s="4" t="str">
        <x:v>現行OK</x:v>
      </x:c>
      <x:c r="T138" s="4" t="str">
        <x:v>未確認</x:v>
      </x:c>
      <x:c r="U138" s="4" t="str">
        <x:v>過去結果は既存Noを参照。</x:v>
      </x:c>
      <x:c r="V138" s="4" t="str">
        <x:v>過去結果は既存Noを参照。</x:v>
      </x:c>
      <x:c r="W138" s="4" t="str">
        <x:v>部分確認・未確認を継続</x:v>
      </x:c>
      <x:c r="X138" s="4" t="str">
        <x:v>今回の追加機能だけの結果。既存ケースの旧合格を新OTAで再実施した扱いにしない。</x:v>
      </x:c>
      <x:c r="Y138" s="4" t="str">
        <x:v>手動中心</x:v>
      </x:c>
      <x:c r="Z138" s="4" t="str">
        <x:v>両OSで画面を確認し対象Update IDと利用者報告を残す。</x:v>
      </x:c>
    </x:row>
    <x:row r="139" ht="112" customHeight="1">
      <x:c r="A139" s="4" t="n">
        <x:v>132</x:v>
      </x:c>
      <x:c r="B139" s="4" t="str">
        <x:v>14 管理者・インストール版一覧</x:v>
      </x:c>
      <x:c r="C139" s="4" t="str">
        <x:v>再取得</x:v>
      </x:c>
      <x:c r="D139" s="4" t="str">
        <x:v>一覧の再取得</x:v>
      </x:c>
      <x:c r="E139" s="4" t="str">
        <x:v>再取得後に一覧が表示され、操作できる。</x:v>
      </x:c>
      <x:c r="F139" s="4" t="str">
        <x:v>手動実機テスト</x:v>
      </x:c>
      <x:c r="G139" s="4" t="str">
        <x:v>共通</x:v>
      </x:c>
      <x:c r="H139" s="4" t="str">
        <x:v>P1</x:v>
      </x:c>
      <x:c r="I139" s="4" t="str">
        <x:v>記録・共有停止中。通常版の削除・データ消去・新規記録はしない。</x:v>
      </x:c>
      <x:c r="J139" s="4" t="str">
        <x:v>再取得を押して完了を待つ。</x:v>
      </x:c>
      <x:c r="K139" s="4" t="str">
        <x:v>同じruntimeでもOSごとのOTA IDを区別。</x:v>
      </x:c>
      <x:c r="L139" s="32" t="str">
        <x:v>OK</x:v>
      </x:c>
      <x:c r="M139" s="32" t="str">
        <x:v>未実施</x:v>
      </x:c>
      <x:c r="N139" s="32" t="str">
        <x:v>1.0.5(12) + OTA 01a1782e-12e2-76d1-b530-e8cb54c45716／2026-10-26 利用者報告。iOSは再取得を確認。最新日時のAPI完全一致は別の読取監査を未実施。 [E22]</x:v>
      </x:c>
      <x:c r="O139" s="32" t="str">
        <x:v>1.0.5(27) + OTA 01a1782e-12e2-78ef-a5ad-f48aa949961b／2026-10-26 利用者報告。iOSは再取得を確認。最新日時のAPI完全一致は別の読取監査を未実施。 [E22]</x:v>
      </x:c>
      <x:c r="P139" s="32" t="str">
        <x:v>E21 / E22</x:v>
      </x:c>
      <x:c r="Q139" s="4" t="str">
        <x:v>手動の報告とローカル自動／成果物検査を分ける。</x:v>
      </x:c>
      <x:c r="R139" s="4" t="str">
        <x:v>iOSは再取得を確認。最新日時のAPI完全一致は別の読取監査を未実施。</x:v>
      </x:c>
      <x:c r="S139" s="4" t="str">
        <x:v>現行OK</x:v>
      </x:c>
      <x:c r="T139" s="4" t="str">
        <x:v>未確認</x:v>
      </x:c>
      <x:c r="U139" s="4" t="str">
        <x:v>過去結果は既存Noを参照。</x:v>
      </x:c>
      <x:c r="V139" s="4" t="str">
        <x:v>過去結果は既存Noを参照。</x:v>
      </x:c>
      <x:c r="W139" s="4" t="str">
        <x:v>部分確認・未確認を継続</x:v>
      </x:c>
      <x:c r="X139" s="4" t="str">
        <x:v>今回の追加機能だけの結果。既存ケースの旧合格を新OTAで再実施した扱いにしない。</x:v>
      </x:c>
      <x:c r="Y139" s="4" t="str">
        <x:v>手動中心</x:v>
      </x:c>
      <x:c r="Z139" s="4" t="str">
        <x:v>両OSで画面を確認し対象Update IDと利用者報告を残す。</x:v>
      </x:c>
    </x:row>
    <x:row r="140" ht="112" customHeight="1">
      <x:c r="A140" s="4" t="n">
        <x:v>133</x:v>
      </x:c>
      <x:c r="B140" s="4" t="str">
        <x:v>14 管理者・インストール版一覧</x:v>
      </x:c>
      <x:c r="C140" s="4" t="str">
        <x:v>非管理者</x:v>
      </x:c>
      <x:c r="D140" s="4" t="str">
        <x:v>非管理者へのボタン非表示</x:v>
      </x:c>
      <x:c r="E140" s="4" t="str">
        <x:v>非管理者には管理者ボタンを表示しない。</x:v>
      </x:c>
      <x:c r="F140" s="4" t="str">
        <x:v>手動実機テスト</x:v>
      </x:c>
      <x:c r="G140" s="4" t="str">
        <x:v>共通</x:v>
      </x:c>
      <x:c r="H140" s="4" t="str">
        <x:v>P1</x:v>
      </x:c>
      <x:c r="I140" s="4" t="str">
        <x:v>記録・共有停止中。通常版の削除・データ消去・新規記録はしない。</x:v>
      </x:c>
      <x:c r="J140" s="4" t="str">
        <x:v>非管理者でホームを確認。</x:v>
      </x:c>
      <x:c r="K140" s="4" t="str">
        <x:v>同じruntimeでもOSごとのOTA IDを区別。</x:v>
      </x:c>
      <x:c r="L140" s="32" t="str">
        <x:v>OK</x:v>
      </x:c>
      <x:c r="M140" s="32" t="str">
        <x:v>未実施</x:v>
      </x:c>
      <x:c r="N140" s="32" t="str">
        <x:v>1.0.5(12) + OTA 01a1782e-12e2-76d1-b530-e8cb54c45716／2026-10-26 利用者報告。iOSの非管理者で非表示を確認。Androidの非管理者は今回未確認。 [E22]</x:v>
      </x:c>
      <x:c r="O140" s="32" t="str">
        <x:v>1.0.5(27) + OTA 01a1782e-12e2-78ef-a5ad-f48aa949961b／2026-10-26 利用者報告。iOSの非管理者で非表示を確認。Androidの非管理者は今回未確認。 [E22]</x:v>
      </x:c>
      <x:c r="P140" s="32" t="str">
        <x:v>E21 / E22</x:v>
      </x:c>
      <x:c r="Q140" s="4" t="str">
        <x:v>手動の報告とローカル自動／成果物検査を分ける。</x:v>
      </x:c>
      <x:c r="R140" s="4" t="str">
        <x:v>iOSの非管理者で非表示を確認。Androidの非管理者は今回未確認。</x:v>
      </x:c>
      <x:c r="S140" s="4" t="str">
        <x:v>現行OK</x:v>
      </x:c>
      <x:c r="T140" s="4" t="str">
        <x:v>未確認</x:v>
      </x:c>
      <x:c r="U140" s="4" t="str">
        <x:v>過去結果は既存Noを参照。</x:v>
      </x:c>
      <x:c r="V140" s="4" t="str">
        <x:v>過去結果は既存Noを参照。</x:v>
      </x:c>
      <x:c r="W140" s="4" t="str">
        <x:v>部分確認・未確認を継続</x:v>
      </x:c>
      <x:c r="X140" s="4" t="str">
        <x:v>今回の追加機能だけの結果。既存ケースの旧合格を新OTAで再実施した扱いにしない。</x:v>
      </x:c>
      <x:c r="Y140" s="4" t="str">
        <x:v>手動中心</x:v>
      </x:c>
      <x:c r="Z140" s="4" t="str">
        <x:v>両OSで画面を確認し対象Update IDと利用者報告を残す。</x:v>
      </x:c>
    </x:row>
    <x:row r="141" ht="112" customHeight="1">
      <x:c r="A141" s="4" t="n">
        <x:v>134</x:v>
      </x:c>
      <x:c r="B141" s="4" t="str">
        <x:v>14 管理者・インストール版一覧</x:v>
      </x:c>
      <x:c r="C141" s="4" t="str">
        <x:v>画面ガード</x:v>
      </x:c>
      <x:c r="D141" s="4" t="str">
        <x:v>非管理者の直接画面遷移拒否</x:v>
      </x:c>
      <x:c r="E141" s="4" t="str">
        <x:v>画面内の管理者チェックで取得を拒否する。</x:v>
      </x:c>
      <x:c r="F141" s="4" t="str">
        <x:v>自動実機テスト</x:v>
      </x:c>
      <x:c r="G141" s="4" t="str">
        <x:v>共通</x:v>
      </x:c>
      <x:c r="H141" s="4" t="str">
        <x:v>P1</x:v>
      </x:c>
      <x:c r="I141" s="4" t="str">
        <x:v>記録・共有停止中。通常版の削除・データ消去・新規記録はしない。</x:v>
      </x:c>
      <x:c r="J141" s="4" t="str">
        <x:v>専用環境で非管理者の画面遷移を試す。</x:v>
      </x:c>
      <x:c r="K141" s="4" t="str">
        <x:v>同じruntimeでもOSごとのOTA IDを区別。</x:v>
      </x:c>
      <x:c r="L141" s="32" t="str">
        <x:v>未実施</x:v>
      </x:c>
      <x:c r="M141" s="32" t="str">
        <x:v>未実施</x:v>
      </x:c>
      <x:c r="N141" s="32" t="str">
        <x:v>1.0.5(12) + OTA 01a1782e-12e2-76d1-b530-e8cb54c45716／2026-10-26 ローカル試験・コード／出力読取（実機未確認）。ローカル9テストで非管理者の取得開始を拒否。実機の直接遷移は未確認。サーバー認可の強化ではない。 [E23]</x:v>
      </x:c>
      <x:c r="O141" s="32" t="str">
        <x:v>1.0.5(27) + OTA 01a1782e-12e2-78ef-a5ad-f48aa949961b／2026-10-26 ローカル試験・コード／出力読取（実機未確認）。ローカル9テストで非管理者の取得開始を拒否。実機の直接遷移は未確認。サーバー認可の強化ではない。 [E23]</x:v>
      </x:c>
      <x:c r="P141" s="32" t="str">
        <x:v>E21 / E23</x:v>
      </x:c>
      <x:c r="Q141" s="4" t="str">
        <x:v>手動の報告とローカル自動／成果物検査を分ける。</x:v>
      </x:c>
      <x:c r="R141" s="4" t="str">
        <x:v>ローカル9テストで非管理者の取得開始を拒否。実機の直接遷移は未確認。サーバー認可の強化ではない。</x:v>
      </x:c>
      <x:c r="S141" s="4" t="str">
        <x:v>未確認</x:v>
      </x:c>
      <x:c r="T141" s="4" t="str">
        <x:v>未確認</x:v>
      </x:c>
      <x:c r="U141" s="4" t="str">
        <x:v>過去結果は既存Noを参照。</x:v>
      </x:c>
      <x:c r="V141" s="4" t="str">
        <x:v>過去結果は既存Noを参照。</x:v>
      </x:c>
      <x:c r="W141" s="4" t="str">
        <x:v>部分確認・未確認を継続</x:v>
      </x:c>
      <x:c r="X141" s="4" t="str">
        <x:v>今回の追加機能だけの結果。既存ケースの旧合格を新OTAで再実施した扱いにしない。</x:v>
      </x:c>
      <x:c r="Y141" s="4" t="str">
        <x:v>A1 最優先</x:v>
      </x:c>
      <x:c r="Z141" s="4" t="str">
        <x:v>管理者ガード・全件取得・キャンセル・キューハッシュ・バンドル検査を自動化。実機結果と別管理。</x:v>
      </x:c>
    </x:row>
    <x:row r="142" ht="112" customHeight="1">
      <x:c r="A142" s="4" t="n">
        <x:v>135</x:v>
      </x:c>
      <x:c r="B142" s="4" t="str">
        <x:v>14 管理者・インストール版一覧</x:v>
      </x:c>
      <x:c r="C142" s="4" t="str">
        <x:v>欠測・全件取得</x:v>
      </x:c>
      <x:c r="D142" s="4" t="str">
        <x:v>未取得末尾・ページング・同名ユーザー</x:v>
      </x:c>
      <x:c r="E142" s="4" t="str">
        <x:v>欠測は末尾。複数ページを全取得し、同名ユーザーを混同しない。</x:v>
      </x:c>
      <x:c r="F142" s="4" t="str">
        <x:v>自動実機テスト</x:v>
      </x:c>
      <x:c r="G142" s="4" t="str">
        <x:v>共通</x:v>
      </x:c>
      <x:c r="H142" s="4" t="str">
        <x:v>P1</x:v>
      </x:c>
      <x:c r="I142" s="4" t="str">
        <x:v>記録・共有停止中。通常版の削除・データ消去・新規記録はしない。</x:v>
      </x:c>
      <x:c r="J142" s="4" t="str">
        <x:v>専用fixtureで欠測・空ページ・重複ページ・同名を確認。</x:v>
      </x:c>
      <x:c r="K142" s="4" t="str">
        <x:v>同じruntimeでもOSごとのOTA IDを区別。</x:v>
      </x:c>
      <x:c r="L142" s="32" t="str">
        <x:v>未実施</x:v>
      </x:c>
      <x:c r="M142" s="32" t="str">
        <x:v>未実施</x:v>
      </x:c>
      <x:c r="N142" s="32" t="str">
        <x:v>1.0.5(12) + OTA 01a1782e-12e2-76d1-b530-e8cb54c45716／2026-10-26 ローカル試験・コード／出力読取（実機未確認）。ローカル9テストで確認。実データを加工した実機境界試験は未実施。 [E23]</x:v>
      </x:c>
      <x:c r="O142" s="32" t="str">
        <x:v>1.0.5(27) + OTA 01a1782e-12e2-78ef-a5ad-f48aa949961b／2026-10-26 ローカル試験・コード／出力読取（実機未確認）。ローカル9テストで確認。実データを加工した実機境界試験は未実施。 [E23]</x:v>
      </x:c>
      <x:c r="P142" s="32" t="str">
        <x:v>E21 / E23</x:v>
      </x:c>
      <x:c r="Q142" s="4" t="str">
        <x:v>手動の報告とローカル自動／成果物検査を分ける。</x:v>
      </x:c>
      <x:c r="R142" s="4" t="str">
        <x:v>ローカル9テストで確認。実データを加工した実機境界試験は未実施。</x:v>
      </x:c>
      <x:c r="S142" s="4" t="str">
        <x:v>未確認</x:v>
      </x:c>
      <x:c r="T142" s="4" t="str">
        <x:v>未確認</x:v>
      </x:c>
      <x:c r="U142" s="4" t="str">
        <x:v>過去結果は既存Noを参照。</x:v>
      </x:c>
      <x:c r="V142" s="4" t="str">
        <x:v>過去結果は既存Noを参照。</x:v>
      </x:c>
      <x:c r="W142" s="4" t="str">
        <x:v>部分確認・未確認を継続</x:v>
      </x:c>
      <x:c r="X142" s="4" t="str">
        <x:v>今回の追加機能だけの結果。既存ケースの旧合格を新OTAで再実施した扱いにしない。</x:v>
      </x:c>
      <x:c r="Y142" s="4" t="str">
        <x:v>A1 最優先</x:v>
      </x:c>
      <x:c r="Z142" s="4" t="str">
        <x:v>管理者ガード・全件取得・キャンセル・キューハッシュ・バンドル検査を自動化。実機結果と別管理。</x:v>
      </x:c>
    </x:row>
    <x:row r="143" ht="112" customHeight="1">
      <x:c r="A143" s="4" t="n">
        <x:v>136</x:v>
      </x:c>
      <x:c r="B143" s="4" t="str">
        <x:v>14 管理者・インストール版一覧</x:v>
      </x:c>
      <x:c r="C143" s="4" t="str">
        <x:v>異常・切替競合</x:v>
      </x:c>
      <x:c r="D143" s="4" t="str">
        <x:v>取得失敗と取得中の認証変更</x:v>
      </x:c>
      <x:c r="E143" s="4" t="str">
        <x:v>部分一覧を成功として表示せず、旧ユーザーの結果を表示しない。</x:v>
      </x:c>
      <x:c r="F143" s="4" t="str">
        <x:v>自動実機テスト</x:v>
      </x:c>
      <x:c r="G143" s="4" t="str">
        <x:v>共通</x:v>
      </x:c>
      <x:c r="H143" s="4" t="str">
        <x:v>P1</x:v>
      </x:c>
      <x:c r="I143" s="4" t="str">
        <x:v>記録・共有停止中。通常版の削除・データ消去・新規記録はしない。</x:v>
      </x:c>
      <x:c r="J143" s="4" t="str">
        <x:v>専用環境でAPI失敗・画面離脱・取得中切替を試す。</x:v>
      </x:c>
      <x:c r="K143" s="4" t="str">
        <x:v>同じruntimeでもOSごとのOTA IDを区別。</x:v>
      </x:c>
      <x:c r="L143" s="32" t="str">
        <x:v>未実施</x:v>
      </x:c>
      <x:c r="M143" s="32" t="str">
        <x:v>未実施</x:v>
      </x:c>
      <x:c r="N143" s="32" t="str">
        <x:v>1.0.5(12) + OTA 01a1782e-12e2-76d1-b530-e8cb54c45716／2026-10-26 ローカル試験・コード／出力読取（実機未確認）。ローカル9テストでAPI失敗・キャンセル・ユーザー変更・権限失効を確認。実機故障注入なし。 [E23]</x:v>
      </x:c>
      <x:c r="O143" s="32" t="str">
        <x:v>1.0.5(27) + OTA 01a1782e-12e2-78ef-a5ad-f48aa949961b／2026-10-26 ローカル試験・コード／出力読取（実機未確認）。ローカル9テストでAPI失敗・キャンセル・ユーザー変更・権限失効を確認。実機故障注入なし。 [E23]</x:v>
      </x:c>
      <x:c r="P143" s="32" t="str">
        <x:v>E21 / E23</x:v>
      </x:c>
      <x:c r="Q143" s="4" t="str">
        <x:v>手動の報告とローカル自動／成果物検査を分ける。</x:v>
      </x:c>
      <x:c r="R143" s="4" t="str">
        <x:v>ローカル9テストでAPI失敗・キャンセル・ユーザー変更・権限失効を確認。実機故障注入なし。</x:v>
      </x:c>
      <x:c r="S143" s="4" t="str">
        <x:v>未確認</x:v>
      </x:c>
      <x:c r="T143" s="4" t="str">
        <x:v>未確認</x:v>
      </x:c>
      <x:c r="U143" s="4" t="str">
        <x:v>過去結果は既存Noを参照。</x:v>
      </x:c>
      <x:c r="V143" s="4" t="str">
        <x:v>過去結果は既存Noを参照。</x:v>
      </x:c>
      <x:c r="W143" s="4" t="str">
        <x:v>部分確認・未確認を継続</x:v>
      </x:c>
      <x:c r="X143" s="4" t="str">
        <x:v>今回の追加機能だけの結果。既存ケースの旧合格を新OTAで再実施した扱いにしない。</x:v>
      </x:c>
      <x:c r="Y143" s="4" t="str">
        <x:v>A1 最優先</x:v>
      </x:c>
      <x:c r="Z143" s="4" t="str">
        <x:v>管理者ガード・全件取得・キャンセル・キューハッシュ・バンドル検査を自動化。実機結果と別管理。</x:v>
      </x:c>
    </x:row>
    <x:row r="144" ht="112" customHeight="1">
      <x:c r="A144" s="4" t="n">
        <x:v>137</x:v>
      </x:c>
      <x:c r="B144" s="4" t="str">
        <x:v>14 管理者・インストール版一覧</x:v>
      </x:c>
      <x:c r="C144" s="4" t="str">
        <x:v>OTA適用</x:v>
      </x:c>
      <x:c r="D144" s="4" t="str">
        <x:v>配信済みUpdate ID一致</x:v>
      </x:c>
      <x:c r="E144" s="4" t="str">
        <x:v>production/runtime1.0.5で指定IDを適用。</x:v>
      </x:c>
      <x:c r="F144" s="4" t="str">
        <x:v>手動実機テスト</x:v>
      </x:c>
      <x:c r="G144" s="4" t="str">
        <x:v>共通</x:v>
      </x:c>
      <x:c r="H144" s="4" t="str">
        <x:v>P1</x:v>
      </x:c>
      <x:c r="I144" s="4" t="str">
        <x:v>記録・共有停止中。通常版の削除・データ消去・新規記録はしない。</x:v>
      </x:c>
      <x:c r="J144" s="4" t="str">
        <x:v>記録共有停止中に更新しUpdate情報を確認。</x:v>
      </x:c>
      <x:c r="K144" s="4" t="str">
        <x:v>同じruntimeでもOSごとのOTA IDを区別。</x:v>
      </x:c>
      <x:c r="L144" s="32" t="str">
        <x:v>OK</x:v>
      </x:c>
      <x:c r="M144" s="32" t="str">
        <x:v>OK</x:v>
      </x:c>
      <x:c r="N144" s="32" t="str">
        <x:v>1.0.5(12) + OTA 01a1782e-12e2-76d1-b530-e8cb54c45716／2026-10-26 利用者報告。両OSの利用者報告で指定Update ID一致。 [E22]</x:v>
      </x:c>
      <x:c r="O144" s="32" t="str">
        <x:v>1.0.5(27) + OTA 01a1782e-12e2-78ef-a5ad-f48aa949961b／2026-10-26 利用者報告。両OSの利用者報告で指定Update ID一致。 [E22]</x:v>
      </x:c>
      <x:c r="P144" s="32" t="str">
        <x:v>E21 / E22</x:v>
      </x:c>
      <x:c r="Q144" s="4" t="str">
        <x:v>手動の報告とローカル自動／成果物検査を分ける。</x:v>
      </x:c>
      <x:c r="R144" s="4" t="str">
        <x:v>両OSの利用者報告で指定Update ID一致。</x:v>
      </x:c>
      <x:c r="S144" s="4" t="str">
        <x:v>現行OK</x:v>
      </x:c>
      <x:c r="T144" s="4" t="str">
        <x:v>現行OK</x:v>
      </x:c>
      <x:c r="U144" s="4" t="str">
        <x:v>過去結果は既存Noを参照。</x:v>
      </x:c>
      <x:c r="V144" s="4" t="str">
        <x:v>過去結果は既存Noを参照。</x:v>
      </x:c>
      <x:c r="W144" s="4" t="str">
        <x:v>現行確認済み</x:v>
      </x:c>
      <x:c r="X144" s="4" t="str">
        <x:v>今回の追加機能だけの結果。既存ケースの旧合格を新OTAで再実施した扱いにしない。</x:v>
      </x:c>
      <x:c r="Y144" s="4" t="str">
        <x:v>手動中心</x:v>
      </x:c>
      <x:c r="Z144" s="4" t="str">
        <x:v>両OSで画面を確認し対象Update IDと利用者報告を残す。</x:v>
      </x:c>
    </x:row>
    <x:row r="145" ht="112" customHeight="1">
      <x:c r="A145" s="4" t="n">
        <x:v>138</x:v>
      </x:c>
      <x:c r="B145" s="4" t="str">
        <x:v>14 管理者・インストール版一覧</x:v>
      </x:c>
      <x:c r="C145" s="4" t="str">
        <x:v>切替と保存済み保持</x:v>
      </x:c>
      <x:c r="D145" s="4" t="str">
        <x:v>管理者へ切替後に元ユーザーへ復帰</x:v>
      </x:c>
      <x:c r="E145" s="4" t="str">
        <x:v>元の記録地図・時間・距離と停止状態を保持。</x:v>
      </x:c>
      <x:c r="F145" s="4" t="str">
        <x:v>手動実機テスト</x:v>
      </x:c>
      <x:c r="G145" s="4" t="str">
        <x:v>共通</x:v>
      </x:c>
      <x:c r="H145" s="4" t="str">
        <x:v>P1</x:v>
      </x:c>
      <x:c r="I145" s="4" t="str">
        <x:v>記録・共有停止中。通常版の削除・データ消去・新規記録はしない。</x:v>
      </x:c>
      <x:c r="J145" s="4" t="str">
        <x:v>停止中に管理者へ切替、閲覧後に元ユーザーへ戻し既存地図を確認。</x:v>
      </x:c>
      <x:c r="K145" s="4" t="str">
        <x:v>同じruntimeでもOSごとのOTA IDを区別。</x:v>
      </x:c>
      <x:c r="L145" s="32" t="str">
        <x:v>OK</x:v>
      </x:c>
      <x:c r="M145" s="32" t="str">
        <x:v>保留</x:v>
      </x:c>
      <x:c r="N145" s="32" t="str">
        <x:v>1.0.5(12) + OTA 01a1782e-12e2-76d1-b530-e8cb54c45716／2026-10-26 利用者報告。iOSは元ユーザーへ戻り既存地図・時間・距離・停止を確認。Androidは管理者へ再ログイン成功のみ。 [E22]</x:v>
      </x:c>
      <x:c r="O145" s="32" t="str">
        <x:v>1.0.5(27) + OTA 01a1782e-12e2-78ef-a5ad-f48aa949961b／2026-10-26 利用者報告。iOSは元ユーザーへ戻り既存地図・時間・距離・停止を確認。Androidは管理者へ再ログイン成功のみ。 [E22]</x:v>
      </x:c>
      <x:c r="P145" s="32" t="str">
        <x:v>E21 / E22</x:v>
      </x:c>
      <x:c r="Q145" s="4" t="str">
        <x:v>手動の報告とローカル自動／成果物検査を分ける。</x:v>
      </x:c>
      <x:c r="R145" s="4" t="str">
        <x:v>iOSは元ユーザーへ戻り既存地図・時間・距離・停止を確認。Androidは管理者へ再ログイン成功のみ。</x:v>
      </x:c>
      <x:c r="S145" s="4" t="str">
        <x:v>現行OK</x:v>
      </x:c>
      <x:c r="T145" s="4" t="str">
        <x:v>現行部分確認</x:v>
      </x:c>
      <x:c r="U145" s="4" t="str">
        <x:v>過去結果は既存Noを参照。</x:v>
      </x:c>
      <x:c r="V145" s="4" t="str">
        <x:v>過去結果は既存Noを参照。</x:v>
      </x:c>
      <x:c r="W145" s="4" t="str">
        <x:v>部分確認・未確認を継続</x:v>
      </x:c>
      <x:c r="X145" s="4" t="str">
        <x:v>今回の追加機能だけの結果。既存ケースの旧合格を新OTAで再実施した扱いにしない。</x:v>
      </x:c>
      <x:c r="Y145" s="4" t="str">
        <x:v>手動中心</x:v>
      </x:c>
      <x:c r="Z145" s="4" t="str">
        <x:v>両OSで画面を確認し対象Update IDと利用者報告を残す。</x:v>
      </x:c>
    </x:row>
    <x:row r="146" ht="112" customHeight="1">
      <x:c r="A146" s="4" t="n">
        <x:v>139</x:v>
      </x:c>
      <x:c r="B146" s="4" t="str">
        <x:v>14 管理者・インストール版一覧</x:v>
      </x:c>
      <x:c r="C146" s="4" t="str">
        <x:v>未送信保持</x:v>
      </x:c>
      <x:c r="D146" s="4" t="str">
        <x:v>非ゼロキューの件数・内容一致</x:v>
      </x:c>
      <x:c r="E146" s="4" t="str">
        <x:v>切替前後で所有者・記録ID・件数・内容を保持。</x:v>
      </x:c>
      <x:c r="F146" s="4" t="str">
        <x:v>自動実機テスト</x:v>
      </x:c>
      <x:c r="G146" s="4" t="str">
        <x:v>共通</x:v>
      </x:c>
      <x:c r="H146" s="4" t="str">
        <x:v>P0</x:v>
      </x:c>
      <x:c r="I146" s="4" t="str">
        <x:v>記録・共有停止中。通常版の削除・データ消去・新規記録はしない。</x:v>
      </x:c>
      <x:c r="J146" s="4" t="str">
        <x:v>専用fixtureの非ゼロ未送信を前後で直接照合。</x:v>
      </x:c>
      <x:c r="K146" s="4" t="str">
        <x:v>同じruntimeでもOSごとのOTA IDを区別。</x:v>
      </x:c>
      <x:c r="L146" s="32" t="str">
        <x:v>未実施</x:v>
      </x:c>
      <x:c r="M146" s="32" t="str">
        <x:v>未実施</x:v>
      </x:c>
      <x:c r="N146" s="32" t="str">
        <x:v>1.0.5(12) + OTA 01a1782e-12e2-76d1-b530-e8cb54c45716／2026-10-26 ローカル試験・コード／出力読取（実機未確認）。通常版の件数・内容は未計測。サインアウトがキューを削除しないコード確認と区別。 [E23]</x:v>
      </x:c>
      <x:c r="O146" s="32" t="str">
        <x:v>1.0.5(27) + OTA 01a1782e-12e2-78ef-a5ad-f48aa949961b／2026-10-26 ローカル試験・コード／出力読取（実機未確認）。通常版の件数・内容は未計測。サインアウトがキューを削除しないコード確認と区別。 [E23]</x:v>
      </x:c>
      <x:c r="P146" s="32" t="str">
        <x:v>E21 / E23</x:v>
      </x:c>
      <x:c r="Q146" s="4" t="str">
        <x:v>手動の報告とローカル自動／成果物検査を分ける。</x:v>
      </x:c>
      <x:c r="R146" s="4" t="str">
        <x:v>通常版の件数・内容は未計測。サインアウトがキューを削除しないコード確認と区別。</x:v>
      </x:c>
      <x:c r="S146" s="4" t="str">
        <x:v>未確認</x:v>
      </x:c>
      <x:c r="T146" s="4" t="str">
        <x:v>未確認</x:v>
      </x:c>
      <x:c r="U146" s="4" t="str">
        <x:v>過去結果は既存Noを参照。</x:v>
      </x:c>
      <x:c r="V146" s="4" t="str">
        <x:v>過去結果は既存Noを参照。</x:v>
      </x:c>
      <x:c r="W146" s="4" t="str">
        <x:v>部分確認・未確認を継続</x:v>
      </x:c>
      <x:c r="X146" s="4" t="str">
        <x:v>今回の追加機能だけの結果。既存ケースの旧合格を新OTAで再実施した扱いにしない。</x:v>
      </x:c>
      <x:c r="Y146" s="4" t="str">
        <x:v>A1 最優先</x:v>
      </x:c>
      <x:c r="Z146" s="4" t="str">
        <x:v>管理者ガード・全件取得・キャンセル・キューハッシュ・バンドル検査を自動化。実機結果と別管理。</x:v>
      </x:c>
    </x:row>
    <x:row r="147" ht="112" customHeight="1">
      <x:c r="A147" s="4" t="n">
        <x:v>140</x:v>
      </x:c>
      <x:c r="B147" s="4" t="str">
        <x:v>14 管理者・インストール版一覧</x:v>
      </x:c>
      <x:c r="C147" s="4" t="str">
        <x:v>出荷内容</x:v>
      </x:c>
      <x:c r="D147" s="4" t="str">
        <x:v>診断対象JSONの非混入</x:v>
      </x:c>
      <x:c r="E147" s="4" t="str">
        <x:v>production出力に診断JSONと対象位置ログIDを含まない。</x:v>
      </x:c>
      <x:c r="F147" s="4" t="str">
        <x:v>自動実機テスト</x:v>
      </x:c>
      <x:c r="G147" s="4" t="str">
        <x:v>共通</x:v>
      </x:c>
      <x:c r="H147" s="4" t="str">
        <x:v>P1</x:v>
      </x:c>
      <x:c r="I147" s="4" t="str">
        <x:v>記録・共有停止中。通常版の削除・データ消去・新規記録はしない。</x:v>
      </x:c>
      <x:c r="J147" s="4" t="str">
        <x:v>両OSの実配信バンドルと依存グラフを検査。</x:v>
      </x:c>
      <x:c r="K147" s="4" t="str">
        <x:v>同じruntimeでもOSごとのOTA IDを区別。</x:v>
      </x:c>
      <x:c r="L147" s="32" t="str">
        <x:v>未実施</x:v>
      </x:c>
      <x:c r="M147" s="32" t="str">
        <x:v>未実施</x:v>
      </x:c>
      <x:c r="N147" s="32" t="str">
        <x:v>1.0.5(12) + OTA 01a1782e-12e2-76d1-b530-e8cb54c45716／2026-10-26 ローカル試験・コード／出力読取（実機未確認）。両OS出力で検査合格。実施方式はローカル成果物検査であり自動実機ではない。 [E23]</x:v>
      </x:c>
      <x:c r="O147" s="32" t="str">
        <x:v>1.0.5(27) + OTA 01a1782e-12e2-78ef-a5ad-f48aa949961b／2026-10-26 ローカル試験・コード／出力読取（実機未確認）。両OS出力で検査合格。実施方式はローカル成果物検査であり自動実機ではない。 [E23]</x:v>
      </x:c>
      <x:c r="P147" s="32" t="str">
        <x:v>E21 / E23</x:v>
      </x:c>
      <x:c r="Q147" s="4" t="str">
        <x:v>手動の報告とローカル自動／成果物検査を分ける。</x:v>
      </x:c>
      <x:c r="R147" s="4" t="str">
        <x:v>両OS出力で検査合格。実施方式はローカル成果物検査であり自動実機ではない。</x:v>
      </x:c>
      <x:c r="S147" s="4" t="str">
        <x:v>未確認</x:v>
      </x:c>
      <x:c r="T147" s="4" t="str">
        <x:v>未確認</x:v>
      </x:c>
      <x:c r="U147" s="4" t="str">
        <x:v>過去結果は既存Noを参照。</x:v>
      </x:c>
      <x:c r="V147" s="4" t="str">
        <x:v>過去結果は既存Noを参照。</x:v>
      </x:c>
      <x:c r="W147" s="4" t="str">
        <x:v>部分確認・未確認を継続</x:v>
      </x:c>
      <x:c r="X147" s="4" t="str">
        <x:v>今回の追加機能だけの結果。既存ケースの旧合格を新OTAで再実施した扱いにしない。</x:v>
      </x:c>
      <x:c r="Y147" s="4" t="str">
        <x:v>A1 最優先</x:v>
      </x:c>
      <x:c r="Z147" s="4" t="str">
        <x:v>管理者ガード・全件取得・キャンセル・キューハッシュ・バンドル検査を自動化。実機結果と別管理。</x:v>
      </x:c>
    </x:row>
    <x:row r="148" ht="112" customHeight="1">
      <x:c r="A148" s="4" t="n">
        <x:v>141</x:v>
      </x:c>
      <x:c r="B148" s="4" t="str">
        <x:v>14 管理者・インストール版一覧</x:v>
      </x:c>
      <x:c r="C148" s="4" t="str">
        <x:v>報告単位</x:v>
      </x:c>
      <x:c r="D148" s="4" t="str">
        <x:v>最終報告端末の版として表示</x:v>
      </x:c>
      <x:c r="E148" s="4" t="str">
        <x:v>全インストール台数と誤認せず、最後の報告端末を表示する。</x:v>
      </x:c>
      <x:c r="F148" s="4" t="str">
        <x:v>自動実機テスト</x:v>
      </x:c>
      <x:c r="G148" s="4" t="str">
        <x:v>共通</x:v>
      </x:c>
      <x:c r="H148" s="4" t="str">
        <x:v>P1</x:v>
      </x:c>
      <x:c r="I148" s="4" t="str">
        <x:v>記録・共有停止中。通常版の削除・データ消去・新規記録はしない。</x:v>
      </x:c>
      <x:c r="J148" s="4" t="str">
        <x:v>専用ユーザーの複数端末で起動順を変え反映を照合。</x:v>
      </x:c>
      <x:c r="K148" s="4" t="str">
        <x:v>同じruntimeでもOSごとのOTA IDを区別。</x:v>
      </x:c>
      <x:c r="L148" s="32" t="str">
        <x:v>未実施</x:v>
      </x:c>
      <x:c r="M148" s="32" t="str">
        <x:v>未実施</x:v>
      </x:c>
      <x:c r="N148" s="32" t="str">
        <x:v>1.0.5(12) + OTA 01a1782e-12e2-76d1-b530-e8cb54c45716／2026-10-26 ローカル試験・コード／出力読取（実機未確認）。画面に説明あり。複数端末からの更新競合の実機試験は未実施。 [E23]</x:v>
      </x:c>
      <x:c r="O148" s="32" t="str">
        <x:v>1.0.5(27) + OTA 01a1782e-12e2-78ef-a5ad-f48aa949961b／2026-10-26 ローカル試験・コード／出力読取（実機未確認）。画面に説明あり。複数端末からの更新競合の実機試験は未実施。 [E23]</x:v>
      </x:c>
      <x:c r="P148" s="32" t="str">
        <x:v>E21 / E23</x:v>
      </x:c>
      <x:c r="Q148" s="4" t="str">
        <x:v>手動の報告とローカル自動／成果物検査を分ける。</x:v>
      </x:c>
      <x:c r="R148" s="4" t="str">
        <x:v>画面に説明あり。複数端末からの更新競合の実機試験は未実施。</x:v>
      </x:c>
      <x:c r="S148" s="4" t="str">
        <x:v>未確認</x:v>
      </x:c>
      <x:c r="T148" s="4" t="str">
        <x:v>未確認</x:v>
      </x:c>
      <x:c r="U148" s="4" t="str">
        <x:v>過去結果は既存Noを参照。</x:v>
      </x:c>
      <x:c r="V148" s="4" t="str">
        <x:v>過去結果は既存Noを参照。</x:v>
      </x:c>
      <x:c r="W148" s="4" t="str">
        <x:v>部分確認・未確認を継続</x:v>
      </x:c>
      <x:c r="X148" s="4" t="str">
        <x:v>今回の追加機能だけの結果。既存ケースの旧合格を新OTAで再実施した扱いにしない。</x:v>
      </x:c>
      <x:c r="Y148" s="4" t="str">
        <x:v>A1 最優先</x:v>
      </x:c>
      <x:c r="Z148" s="4" t="str">
        <x:v>管理者ガード・全件取得・キャンセル・キューハッシュ・バンドル検査を自動化。実機結果と別管理。</x:v>
      </x:c>
    </x:row>
  </x:sheetData>
  <x:conditionalFormatting sqref="L8:M134">
    <x:cfRule type="cellIs" dxfId="0" priority="1" operator="equal">
      <x:formula>"OK"</x:formula>
    </x:cfRule>
    <x:cfRule type="cellIs" dxfId="1" priority="2" operator="equal">
      <x:formula>"NG"</x:formula>
    </x:cfRule>
    <x:cfRule type="cellIs" dxfId="2" priority="3" operator="equal">
      <x:formula>"保留"</x:formula>
    </x:cfRule>
    <x:cfRule type="cellIs" dxfId="3" priority="4" operator="equal">
      <x:formula>"対象外"</x:formula>
    </x:cfRule>
  </x:conditionalFormatting>
  <x:conditionalFormatting sqref="S8:T134">
    <x:cfRule type="cellIs" dxfId="4" priority="5" operator="equal">
      <x:formula>"現行OK"</x:formula>
    </x:cfRule>
    <x:cfRule type="cellIs" dxfId="5" priority="6" operator="equal">
      <x:formula>"現行部分確認"</x:formula>
    </x:cfRule>
    <x:cfRule type="cellIs" dxfId="6" priority="7" operator="equal">
      <x:formula>"旧版/検証版のみ"</x:formula>
    </x:cfRule>
  </x:conditionalFormatting>
  <x:conditionalFormatting sqref="S135:T148">
    <x:cfRule type="cellIs" dxfId="7" priority="8" operator="equal">
      <x:formula>"現行OK"</x:formula>
    </x:cfRule>
    <x:cfRule type="cellIs" dxfId="8" priority="9" operator="equal">
      <x:formula>"現行部分確認"</x:formula>
    </x:cfRule>
  </x:conditionalFormatting>
  <x:dataValidations count="2">
    <x:dataValidation type="list" sqref="L8:M134">
      <x:formula1>"未実施,OK,NG,保留,対象外"</x:formula1>
    </x:dataValidation>
    <x:dataValidation type="list" sqref="L135:M148">
      <x:formula1>"未実施,OK,NG,保留,対象外"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01cd07fcf343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  <x:c r="C1" s="1"/>
      <x:c r="D1" s="1"/>
    </x:row>
    <x:row r="2" ht="30" customHeight="1">
      <x:c r="A2" s="2" t="str">
        <x:v>実施条件・評価方法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6" customHeight="1">
      <x:c r="A5" s="16" t="str">
        <x:v>項目</x:v>
      </x:c>
      <x:c r="B5" s="16" t="str">
        <x:v>内容</x:v>
      </x:c>
      <x:c r="C5" s="1"/>
      <x:c r="D5" s="1"/>
    </x:row>
    <x:row r="6" ht="50" customHeight="1">
      <x:c r="A6" s="4" t="str">
        <x:v>対象版</x:v>
      </x:c>
      <x:c r="B6" s="4" t="str">
        <x:v>内蔵版：Android1.0.5(27)／iOS1.0.5(12)、93d0fac。管理者OTA：3b985c7。OS別Update IDはE21を参照。</x:v>
      </x:c>
      <x:c r="C6" s="1"/>
      <x:c r="D6" s="1"/>
    </x:row>
    <x:row r="7" ht="50" customHeight="1">
      <x:c r="A7" s="4" t="str">
        <x:v>用途</x:v>
      </x:c>
      <x:c r="B7" s="4" t="str">
        <x:v>既存127仕様の実績を保持し、2026-10-26の管理者OTA実機結果14仕様を追補。今回の文書更新ではビルド・配信・データ操作を行っていない。</x:v>
      </x:c>
      <x:c r="C7" s="1"/>
      <x:c r="D7" s="1"/>
    </x:row>
    <x:row r="8" ht="50" customHeight="1">
      <x:c r="A8" s="4" t="str">
        <x:v>評価欄</x:v>
      </x:c>
      <x:c r="B8" s="4" t="str">
        <x:v>L/MはOS別の評価。対象ビルドだけでなくN/OのOTA IDも確認。既存の内蔵版合格は新OTA再実施を意味しない。</x:v>
      </x:c>
      <x:c r="C8" s="1"/>
      <x:c r="D8" s="1"/>
    </x:row>
    <x:row r="9" ht="50" customHeight="1">
      <x:c r="A9" s="4" t="str">
        <x:v>集計単位</x:v>
      </x:c>
      <x:c r="B9" s="4" t="str">
        <x:v>141仕様／267 OS別予定。既存127仕様／239件に管理者14仕様／28件を加算。OK＋NGのみ完了へ計上。</x:v>
      </x:c>
      <x:c r="C9" s="1"/>
      <x:c r="D9" s="1"/>
    </x:row>
    <x:row r="10" ht="50" customHeight="1">
      <x:c r="A10" s="4" t="str">
        <x:v>S1 標準環境</x:v>
      </x:c>
      <x:c r="B10" s="4" t="str">
        <x:v>専用の記録側A・閲覧側B・非共有側Cを使用。ログイン・権限・記録停止・共有停止を確認。開始前後の記録ID・地点・索引・集計の基準を取得。</x:v>
      </x:c>
      <x:c r="C10" s="1"/>
      <x:c r="D10" s="1"/>
    </x:row>
    <x:row r="11" ht="50" customHeight="1">
      <x:c r="A11" s="4" t="str">
        <x:v>S2 データ保持試験</x:v>
      </x:c>
      <x:c r="B11" s="4" t="str">
        <x:v>非ゼロ未送信と保存済みの専用データを用意。ID・所有者・時刻・件数・内容を前後で比較。送信成功で未送信が減ることとデータ消失を区別する。</x:v>
      </x:c>
      <x:c r="C11" s="1"/>
      <x:c r="D11" s="1"/>
    </x:row>
    <x:row r="12" ht="50" customHeight="1">
      <x:c r="A12" s="4" t="str">
        <x:v>S3 共有試験</x:v>
      </x:c>
      <x:c r="B12" s="4" t="str">
        <x:v>共有元と閲覧側の2端末、非共有Cの切替情報を準備。OS区分は閲覧側のOS。必要なケースでは共有元OSを手順で固定。API合格だけで地図表示をOKにしない。</x:v>
      </x:c>
      <x:c r="C12" s="1"/>
      <x:c r="D12" s="1"/>
    </x:row>
    <x:row r="13" ht="50" customHeight="1">
      <x:c r="A13" s="4" t="str">
        <x:v>S4 課金試験</x:v>
      </x:c>
      <x:c r="B13" s="4" t="str">
        <x:v>StoreKit／Google Playの公式テスト購入環境を使用。通常の実課金アカウントで購入しない。ストアアカウント・アプリユーザーの対応を記録する。</x:v>
      </x:c>
      <x:c r="C13" s="1"/>
      <x:c r="D13" s="1"/>
    </x:row>
    <x:row r="14" ht="50" customHeight="1">
      <x:c r="A14" s="4" t="str">
        <x:v>自動実機の意味</x:v>
      </x:c>
      <x:c r="B14" s="4" t="str">
        <x:v>実機UIドライバー＋読取API／ログで確認できる設計を分類した。既存テストコードがすべて実機自動化済みという意味ではない。ドライバー整備・fixture準備後に実行する。</x:v>
      </x:c>
      <x:c r="C14" s="1"/>
      <x:c r="D14" s="1"/>
    </x:row>
    <x:row r="15" ht="50" customHeight="1">
      <x:c r="A15" s="4" t="str">
        <x:v>手動実機の意味</x:v>
      </x:c>
      <x:c r="B15" s="4" t="str">
        <x:v>歩行・周回・電池条件・ロック・OS権限・課金・地図視認などは実施者が操作・観察。録画と操作時刻を残し、自動API観測を補助に用いる。</x:v>
      </x:c>
      <x:c r="C15" s="1"/>
      <x:c r="D15" s="1"/>
    </x:row>
    <x:row r="16" ht="50" customHeight="1">
      <x:c r="A16" s="4" t="str">
        <x:v>未送信の証明</x:v>
      </x:c>
      <x:c r="B16" s="4" t="str">
        <x:v>未送信0件だけでは非ゼロ保持を証明できない。iOSキューを直接読めない場合は通信断前後の同一データ照合を行い、不足なら保留とする。</x:v>
      </x:c>
      <x:c r="C16" s="1"/>
      <x:c r="D16" s="1"/>
    </x:row>
    <x:row r="17" ht="50" customHeight="1">
      <x:c r="A17" s="4" t="str">
        <x:v>保護するデータ</x:v>
      </x:c>
      <x:c r="B17" s="4" t="str">
        <x:v>通常利用アカウントの記録・未送信・認証領域を削除しない。削除・退会・障害注入は専用fixture／隔離環境のみ。端末設定変更は終了後に元へ戻す。</x:v>
      </x:c>
      <x:c r="C17" s="1"/>
      <x:c r="D17" s="1"/>
    </x:row>
    <x:row r="18" ht="50" customHeight="1">
      <x:c r="A18" s="4" t="str">
        <x:v>旧版互換</x:v>
      </x:c>
      <x:c r="B18" s="4" t="str">
        <x:v>通常端末をダウングレードしない。旧版専用端末で現行バックエンドとの互換を検証。新フィールド不足・キュー移行・所有者を含め照合する。</x:v>
      </x:c>
      <x:c r="C18" s="1"/>
      <x:c r="D18" s="1"/>
    </x:row>
    <x:row r="19" ht="50" customHeight="1">
      <x:c r="A19" s="4" t="str">
        <x:v>時刻と距離の照合</x:v>
      </x:c>
      <x:c r="B19" s="4" t="str">
        <x:v>開始／終了の原ログ、採用地点、サマリー、画面を別々に照合。時刻丸め・単位丸めはUI実装と比較。0mの線なしは単独ではNGにしない。</x:v>
      </x:c>
      <x:c r="C19" s="1"/>
      <x:c r="D19" s="1"/>
    </x:row>
    <x:row r="20" ht="50" customHeight="1">
      <x:c r="A20" s="4" t="str">
        <x:v>長時間試験</x:v>
      </x:c>
      <x:c r="B20" s="4" t="str">
        <x:v>USBの物理切断・無充電・デバッガー非接続・ロック開始終了時刻を記録。途中の解除・充電は条件変更として記録。通常スワイプとOS強制停止を区別する。</x:v>
      </x:c>
      <x:c r="C20" s="1"/>
      <x:c r="D20" s="1"/>
    </x:row>
    <x:row r="21" ht="50" customHeight="1">
      <x:c r="A21" s="4" t="str">
        <x:v>既知2問題</x:v>
      </x:c>
      <x:c r="B21" s="4" t="str">
        <x:v>iOS最大約4分39秒遅延、静置約13kmは後続で複数回の再現検証。恒久解決を示す合格扱いにしない。未合意の距離・遅延閾値は保留。</x:v>
      </x:c>
      <x:c r="C21" s="1"/>
      <x:c r="D21" s="1"/>
    </x:row>
    <x:row r="22" ht="50" customHeight="1">
      <x:c r="A22" s="4" t="str">
        <x:v>出荷判断</x:v>
      </x:c>
      <x:c r="B22" s="4" t="str">
        <x:v>公開前の追加最小確認案は残テスト・自動化G1〜G7。全127件の再実行を出荷必須にしない。過去に受容した制限と既知2問題は後続。審査/自動公開設定は変更していない。</x:v>
      </x:c>
      <x:c r="C22" s="1"/>
      <x:c r="D22" s="1"/>
    </x:row>
    <x:row r="23" ht="50" customHeight="1">
      <x:c r="A23" s="4" t="str">
        <x:v>証跡</x:v>
      </x:c>
      <x:c r="B23" s="4" t="str">
        <x:v>各行の証跡欄へログ／録画／スクリーンショットの保管先と不具合IDを記載。パスワード・認証トークン・個人の位置情報を仕様書に記載しない。</x:v>
      </x:c>
      <x:c r="C23" s="1"/>
      <x:c r="D23" s="1"/>
    </x:row>
    <x:row r="24" ht="50" customHeight="1">
      <x:c r="A24" s="4" t="str">
        <x:v>ケース追加</x:v>
      </x:c>
      <x:c r="B24" s="4" t="str">
        <x:v>テストケース表の最終行へ追加する場合、集計の参照終端も延長する。この版は現在のケース数に対する固定範囲で集計する。</x:v>
      </x:c>
      <x:c r="C24" s="1"/>
      <x:c r="D24" s="1"/>
    </x:row>
    <x:row r="25" ht="50" customHeight="1">
      <x:c r="A25" s="4" t="str">
        <x:v>参照元1</x:v>
      </x:c>
      <x:c r="B25" s="4" t="str">
        <x:v>リポジトリ src/screens：LocationHome、LiveLocationMap、LocationLog、LocationMap、ActivityCalendar、ActivityAnalytics、ActivityRanking。</x:v>
      </x:c>
      <x:c r="C25" s="1"/>
      <x:c r="D25" s="1"/>
    </x:row>
    <x:row r="26" ht="50" customHeight="1">
      <x:c r="A26" s="4" t="str">
        <x:v>参照元2</x:v>
      </x:c>
      <x:c r="B26" s="4" t="str">
        <x:v>src/config/subscriptionPlan.ts：FREE30件/月・2時間・1000地点・30秒/50m・2グループ/5人。Premium10秒/10m・10グループ/20人。</x:v>
      </x:c>
      <x:c r="C26" s="1"/>
      <x:c r="D26" s="1"/>
    </x:row>
    <x:row r="27" ht="50" customHeight="1">
      <x:c r="A27" s="4" t="str">
        <x:v>参照元3</x:v>
      </x:c>
      <x:c r="B27" s="4" t="str">
        <x:v>src/screens/ProfileScreen.tsx、SubscriptionPlanScreen.tsx、ShareGroupManagementScreen.tsx、AppInfoScreen.tsx。認証・規約・退会・更新案内の実装。</x:v>
      </x:c>
      <x:c r="C27" s="1"/>
      <x:c r="D27" s="1"/>
    </x:row>
    <x:row r="28" ht="50" customHeight="1">
      <x:c r="A28" s="4" t="str">
        <x:v>参照元4</x:v>
      </x:c>
      <x:c r="B28" s="4" t="str">
        <x:v>src/services/appVersionService.ts と docs/app-version.json。最低対応は更新案内の「あとで」表示に影響し、強制利用停止ではない。</x:v>
      </x:c>
      <x:c r="C28" s="1"/>
      <x:c r="D28" s="1"/>
    </x:row>
    <x:row r="29" ht="50" customHeight="1">
      <x:c r="A29" s="4" t="str">
        <x:v>参照元5</x:v>
      </x:c>
      <x:c r="B29" s="4" t="str">
        <x:v>tests/ の保存・受信箱・破棄・認可・時刻・認証診断テスト群と、2026-10-26までの本チャット実機検証記録。単体テストと実機テストは分けて評価。</x:v>
      </x:c>
      <x:c r="C29" s="1"/>
      <x:c r="D29" s="1"/>
    </x:row>
    <x:row r="30">
      <x:c r="A30" s="1"/>
      <x:c r="B30" s="1"/>
      <x:c r="C30" s="1"/>
      <x:c r="D30" s="1"/>
    </x:row>
    <x:row r="31" ht="60" customHeight="1">
      <x:c r="A31" s="3" t="str">
        <x:v>証跡の不足</x:v>
      </x:c>
      <x:c r="B31" s="3" t="str">
        <x:v>旧候補の版番号が同じ104でもバイナリは複数。対象APK/SHA未特定の結果は候補群の参考証拠とし、93d0fac内蔵27/12の結果へ繰上げない。</x:v>
      </x:c>
      <x:c r="C31" s="1"/>
      <x:c r="D31" s="1"/>
    </x:row>
    <x:row r="32">
      <x:c r="A32" s="1"/>
      <x:c r="B32" s="1"/>
      <x:c r="C32" s="1"/>
      <x:c r="D32" s="1"/>
    </x:row>
    <x:row r="33" ht="65" customHeight="1">
      <x:c r="A33" s="34" t="str">
        <x:v>管理者画面の読取権限</x:v>
      </x:c>
      <x:c r="B33" s="34" t="str">
        <x:v>UIと取得前後の管理者チェックを追加。既存UserProfileの認証済みread権限は変更していない。新たなサーバー管理者専用APIではない。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5A8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28" hidden="0" customWidth="1"/>
    <x:col min="5" max="5" width="65" hidden="0" customWidth="1"/>
    <x:col min="6" max="6" width="65" hidden="0" customWidth="1"/>
    <x:col min="7" max="7" width="18" hidden="0" customWidth="1"/>
    <x:col min="8" max="8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公開前の最小確認案と自動化優先順位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7シナリオは現行27/12の背景・共有・再送・復旧・認証の未確認を埋める案。全127件の再実行や追加ビルドは要求しない。</x:v>
      </x:c>
      <x:c r="B4" s="1"/>
      <x:c r="C4" s="1"/>
      <x:c r="D4" s="1"/>
      <x:c r="E4" s="1"/>
      <x:c r="F4" s="1"/>
      <x:c r="G4" s="1"/>
      <x:c r="H4" s="1"/>
    </x:row>
    <x:row r="5">
      <x:c r="A5" s="1" t="str">
        <x:v>審査提出済み・iOS承認後自動公開。今回、審査取消・配信停止・実機操作は行わず、実施手順と判定条件のみ整理。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8" customHeight="1">
      <x:c r="A7" s="24" t="str">
        <x:v>ID</x:v>
      </x:c>
      <x:c r="B7" s="24" t="str">
        <x:v>関連No</x:v>
      </x:c>
      <x:c r="C7" s="24" t="str">
        <x:v>対象</x:v>
      </x:c>
      <x:c r="D7" s="24" t="str">
        <x:v>位置付け</x:v>
      </x:c>
      <x:c r="E7" s="24" t="str">
        <x:v>手順</x:v>
      </x:c>
      <x:c r="F7" s="24" t="str">
        <x:v>完了条件</x:v>
      </x:c>
      <x:c r="G7" s="24" t="str">
        <x:v>現状</x:v>
      </x:c>
      <x:c r="H7" s="24" t="str">
        <x:v>証拠の不足・実施時注意</x:v>
      </x:c>
    </x:row>
    <x:row r="8" ht="110" customHeight="1">
      <x:c r="A8" s="4" t="str">
        <x:v>G1</x:v>
      </x:c>
      <x:c r="B8" s="4" t="str">
        <x:v>26,28</x:v>
      </x:c>
      <x:c r="C8" s="4" t="str">
        <x:v>Android27共有元</x:v>
      </x:c>
      <x:c r="D8" s="4" t="str">
        <x:v>必須残（公開前確認案）</x:v>
      </x:c>
      <x:c r="E8" s="4" t="str">
        <x:v>USBを抜き無充電ロック65分。解除前にAPI観測を確保し保存・地点/索引/集計照合。途中条件変更を記録。</x:v>
      </x:c>
      <x:c r="F8" s="4" t="str">
        <x:v>背景保存が継続し欠落/二重化なし。遅延最大値を記録。約4分39秒再現検証のSLAは別扱い。</x:v>
      </x:c>
      <x:c r="G8" s="4" t="str">
        <x:v>未実施</x:v>
      </x:c>
      <x:c r="H8" s="4" t="str">
        <x:v>旧検証104合格E07は参考。通常版27で未実施。G3の共有元と兼ねる場合は手順・時刻を分ける。</x:v>
      </x:c>
    </x:row>
    <x:row r="9" ht="110" customHeight="1">
      <x:c r="A9" s="4" t="str">
        <x:v>G2</x:v>
      </x:c>
      <x:c r="B9" s="4" t="str">
        <x:v>27,28</x:v>
      </x:c>
      <x:c r="C9" s="4" t="str">
        <x:v>iOS12共有元</x:v>
      </x:c>
      <x:c r="D9" s="4" t="str">
        <x:v>必須残（公開前確認案）</x:v>
      </x:c>
      <x:c r="E9" s="4" t="str">
        <x:v>デバッガーから離して起動。USBなし・無充電・ロック65分。解除前APIと保存後データを照合。</x:v>
      </x:c>
      <x:c r="F9" s="4" t="str">
        <x:v>背景保存・共有更新・停止保存を確認。OS測位間隔と送信遅延を分け、失敗/欠落を検出する。</x:v>
      </x:c>
      <x:c r="G9" s="4" t="str">
        <x:v>未実施</x:v>
      </x:c>
      <x:c r="H9" s="4" t="str">
        <x:v>旧iOS104・USBなしE08のみ合格。G4と組合せ可。新たな異常再現待ちだけで反復しない。</x:v>
      </x:c>
    </x:row>
    <x:row r="10" ht="110" customHeight="1">
      <x:c r="A10" s="4" t="str">
        <x:v>G3</x:v>
      </x:c>
      <x:c r="B10" s="4" t="str">
        <x:v>36,37,40,41,42,44〜47</x:v>
      </x:c>
      <x:c r="C10" s="4" t="str">
        <x:v>Android27 → iPhone iOS12</x:v>
      </x:c>
      <x:c r="D10" s="4" t="str">
        <x:v>必須残（公開前確認案）</x:v>
      </x:c>
      <x:c r="E10" s="4" t="str">
        <x:v>空画面を開いたまま共有開始→地図/アイコン→安全な移動録画→記録だけ保存→C/B切替→共有停止→B再ログイン。</x:v>
      </x:c>
      <x:c r="F10" s="4" t="str">
        <x:v>地図タイルとアイコンが自動表示。道路に対する位置/日時が変化。C非表示、B復帰、停止後は自動非表示・再ログイン後も非表示。</x:v>
      </x:c>
      <x:c r="G10" s="4" t="str">
        <x:v>未実施</x:v>
      </x:c>
      <x:c r="H10" s="4" t="str">
        <x:v>E07は別ID検証アプリ。履歴地図の合格だけで共有Google Mapsを代替しない。</x:v>
      </x:c>
    </x:row>
    <x:row r="11" ht="110" customHeight="1">
      <x:c r="A11" s="4" t="str">
        <x:v>G4</x:v>
      </x:c>
      <x:c r="B11" s="4" t="str">
        <x:v>36,37,39,41,43〜47</x:v>
      </x:c>
      <x:c r="C11" s="4" t="str">
        <x:v>iOS12 → Android27閲覧実機</x:v>
      </x:c>
      <x:c r="D11" s="4" t="str">
        <x:v>必須残（公開前確認案）</x:v>
      </x:c>
      <x:c r="E11" s="4" t="str">
        <x:v>G3を逆方向で実施。Android閲覧はエミュレーターではなく通常版実機。画面開き直しなしの動画を残す。</x:v>
      </x:c>
      <x:c r="F11" s="4" t="str">
        <x:v>現行のiOS共有元とAndroid閲覧実機で地図・追従・切替・停止失効が機能する。</x:v>
      </x:c>
      <x:c r="G11" s="4" t="str">
        <x:v>未実施</x:v>
      </x:c>
      <x:c r="H11" s="4" t="str">
        <x:v>過去Android閲覧はAPI37エミュレーター。iOS共有元の閲覧UIはAPI確認だけで代替不可。4組合せ全部の合格とはしない。</x:v>
      </x:c>
    </x:row>
    <x:row r="12" ht="110" customHeight="1">
      <x:c r="A12" s="4" t="str">
        <x:v>G5</x:v>
      </x:c>
      <x:c r="B12" s="4" t="str">
        <x:v>30,32,33</x:v>
      </x:c>
      <x:c r="C12" s="4" t="str">
        <x:v>両OS：専用テスト記録</x:v>
      </x:c>
      <x:c r="D12" s="4" t="str">
        <x:v>必須残（公開前確認案）</x:v>
      </x:c>
      <x:c r="E12" s="4" t="str">
        <x:v>通信断で実未送信を作りID/内容を保全。停止保存とアプリ再起動の後に通信復帰、配送後の元データを照合。</x:v>
      </x:c>
      <x:c r="F12" s="4" t="str">
        <x:v>同一所有者/記録IDを保持し未送信が配送され、地点重複0・他記録不変。直接読取不能なら前後API/ログで対応を示し不足は保留。</x:v>
      </x:c>
      <x:c r="G12" s="4" t="str">
        <x:v>未実施</x:v>
      </x:c>
      <x:c r="H12" s="4" t="str">
        <x:v>非実在所有者の合成pending2件は代用不可。通常版の非ゼロ上書き証明GAPはこの試験と別。</x:v>
      </x:c>
    </x:row>
    <x:row r="13" ht="110" customHeight="1">
      <x:c r="A13" s="4" t="str">
        <x:v>G6</x:v>
      </x:c>
      <x:c r="B13" s="4" t="str">
        <x:v>19</x:v>
      </x:c>
      <x:c r="C13" s="4" t="str">
        <x:v>両OS：現行版</x:v>
      </x:c>
      <x:c r="D13" s="4" t="str">
        <x:v>必須残（公開前確認案）</x:v>
      </x:c>
      <x:c r="E13" s="4" t="str">
        <x:v>短時間記録を停止し、名前入力中にスワイプ終了→再起動→同じ記録へ保存。保存後もう一度開き直す。</x:v>
      </x:c>
      <x:c r="F13" s="4" t="str">
        <x:v>名前入力が保存前だけ復元。保存後は再表示せず、記録/地点/集計が1回だけ確定。</x:v>
      </x:c>
      <x:c r="G13" s="4" t="str">
        <x:v>未実施</x:v>
      </x:c>
      <x:c r="H13" s="4" t="str">
        <x:v>保存後再起動は現行で合格E01/E04。保存前未確定からの再起動は現行未実施。2時間上限の再試験は変更/障害時に限定。</x:v>
      </x:c>
    </x:row>
    <x:row r="14" ht="110" customHeight="1">
      <x:c r="A14" s="4" t="str">
        <x:v>G7</x:v>
      </x:c>
      <x:c r="B14" s="4" t="str">
        <x:v>80,81,82</x:v>
      </x:c>
      <x:c r="C14" s="4" t="str">
        <x:v>両OS：専用A/B</x:v>
      </x:c>
      <x:c r="D14" s="4" t="str">
        <x:v>必須残（公開前確認案）</x:v>
      </x:c>
      <x:c r="E14" s="4" t="str">
        <x:v>記録・共有停止中にAのログイン2回→B→A。前後の保存済み/未送信とユーザー別表示を照合。</x:v>
      </x:c>
      <x:c r="F14" s="4" t="str">
        <x:v>ログイン成功、他者データ非表示、所有者付替えやキュー消去なし。失敗時は再試行を連打しない。</x:v>
      </x:c>
      <x:c r="G14" s="4" t="str">
        <x:v>部分確認・継続</x:v>
      </x:c>
      <x:c r="H14" s="4" t="str">
        <x:v>今回iOSで非管理者→管理者→非管理者復帰、既存地図保持。Android再ログイン成功。G7の2回反復・他者データ非表示・実未送信一致すべての合格ではない。</x:v>
      </x:c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 t="str">
        <x:v>自動化の優先順位（既存の単体/API試験を実機試験と混同しない）</x:v>
      </x:c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 ht="38" customHeight="1">
      <x:c r="A19" s="24" t="str">
        <x:v>優先ID</x:v>
      </x:c>
      <x:c r="B19" s="24" t="str">
        <x:v>関連No</x:v>
      </x:c>
      <x:c r="C19" s="24" t="str">
        <x:v>優先度</x:v>
      </x:c>
      <x:c r="D19" s="24" t="str">
        <x:v>自動化対象</x:v>
      </x:c>
      <x:c r="E19" s="24" t="str">
        <x:v>実装する検査</x:v>
      </x:c>
      <x:c r="F19" s="24" t="str">
        <x:v>理由・合格条件</x:v>
      </x:c>
      <x:c r="G19" s="24" t="str">
        <x:v>既存資産</x:v>
      </x:c>
      <x:c r="H19" s="24" t="str">
        <x:v>制約</x:v>
      </x:c>
    </x:row>
    <x:row r="20" ht="110" customHeight="1">
      <x:c r="A20" s="4" t="str">
        <x:v>A1-1</x:v>
      </x:c>
      <x:c r="B20" s="4" t="str">
        <x:v>115,116,119</x:v>
      </x:c>
      <x:c r="C20" s="4" t="str">
        <x:v>最優先</x:v>
      </x:c>
      <x:c r="D20" s="4" t="str">
        <x:v>出荷入力・生成クライアント検査</x:v>
      </x:c>
      <x:c r="E20" s="4" t="str">
        <x:v>出荷用outputsから30 APIを実際に生成し、破棄関数定義、内蔵原ログ時刻・接続先・QA非混入・OTA作成順序を検査。</x:v>
      </x:c>
      <x:c r="F20" s="4" t="str">
        <x:v>過去に欠落を見逃したため。実機で内蔵IDと保存/破棄の最小往復も行う。</x:v>
      </x:c>
      <x:c r="G20" s="4" t="str">
        <x:v>一部既存</x:v>
      </x:c>
      <x:c r="H20" s="4" t="str">
        <x:v>E05/E12/E20の検査は存在。CI接続・実機連携は未確認。</x:v>
      </x:c>
    </x:row>
    <x:row r="21" ht="110" customHeight="1">
      <x:c r="A21" s="4" t="str">
        <x:v>A1-2</x:v>
      </x:c>
      <x:c r="B21" s="4" t="str">
        <x:v>11,15〜21,30〜34,113,114,118</x:v>
      </x:c>
      <x:c r="C21" s="4" t="str">
        <x:v>最優先</x:v>
      </x:c>
      <x:c r="D21" s="4" t="str">
        <x:v>保存・破棄・再送の保持照合</x:v>
      </x:c>
      <x:c r="E21" s="4" t="str">
        <x:v>UIドライバー＋所有者/セッション限定fixture＋SQLite/クラウドの件数/ハッシュを前後比較。中断・遅延再送・複数要求を注入。</x:v>
      </x:c>
      <x:c r="F21" s="4" t="str">
        <x:v>対象外データと未送信消失を検出。墓標後に旧新版再送で復活しない。</x:v>
      </x:c>
      <x:c r="G21" s="4" t="str">
        <x:v>単体/APIあり</x:v>
      </x:c>
      <x:c r="H21" s="4" t="str">
        <x:v>E06/E11/E20は参考。通常版非ゼロ未送信の上書きは未証明。</x:v>
      </x:c>
    </x:row>
    <x:row r="22" ht="110" customHeight="1">
      <x:c r="A22" s="4" t="str">
        <x:v>A1-3</x:v>
      </x:c>
      <x:c r="B22" s="4" t="str">
        <x:v>24,25,54,56,57,74,79</x:v>
      </x:c>
      <x:c r="C22" s="4" t="str">
        <x:v>最優先</x:v>
      </x:c>
      <x:c r="D22" s="4" t="str">
        <x:v>時刻・境界・集計</x:v>
      </x:c>
      <x:c r="E22" s="4" t="str">
        <x:v>始終端間引き・0/1点・無効時刻・順不同・日週月年境界fixtureで原ログ/サマリー/画面を比較。</x:v>
      </x:c>
      <x:c r="F22" s="4" t="str">
        <x:v>静置の時刻縮みや境界誤集計を機械検出。距離の間引きとは分離。</x:v>
      </x:c>
      <x:c r="G22" s="4" t="str">
        <x:v>ローカルあり</x:v>
      </x:c>
      <x:c r="H22" s="4" t="str">
        <x:v>E12/E13の9境界試験等あり。実機表示までの統合は追加。</x:v>
      </x:c>
    </x:row>
    <x:row r="23" ht="110" customHeight="1">
      <x:c r="A23" s="4" t="str">
        <x:v>A1-4</x:v>
      </x:c>
      <x:c r="B23" s="4" t="str">
        <x:v>36〜49,62〜70,80〜87</x:v>
      </x:c>
      <x:c r="C23" s="4" t="str">
        <x:v>最優先</x:v>
      </x:c>
      <x:c r="D23" s="4" t="str">
        <x:v>認証・共有権限と画面状態</x:v>
      </x:c>
      <x:c r="E23" s="4" t="str">
        <x:v>A/B/Cの実機UI切替とAPI読取を連携。停止自動非表示・再ログイン後キャッシュ漏洩・秘密ログ除外をassert。</x:v>
      </x:c>
      <x:c r="F23" s="4" t="str">
        <x:v>API成功だけで地図表示を合格にせず、可視状態も検査する。</x:v>
      </x:c>
      <x:c r="G23" s="4" t="str">
        <x:v>一部単体/APIあり</x:v>
      </x:c>
      <x:c r="H23" s="4" t="str">
        <x:v>Mapsタイル/位置追従は録画で手動補完。E07/E09は過去手動。</x:v>
      </x:c>
    </x:row>
    <x:row r="24" ht="110" customHeight="1">
      <x:c r="A24" s="4" t="str">
        <x:v>A2</x:v>
      </x:c>
      <x:c r="B24" s="4" t="str">
        <x:v>設定・履歴・カレンダー・プラン</x:v>
      </x:c>
      <x:c r="C24" s="4" t="str">
        <x:v>次優先</x:v>
      </x:c>
      <x:c r="D24" s="4" t="str">
        <x:v>安定画面の通常回帰</x:v>
      </x:c>
      <x:c r="E24" s="4" t="str">
        <x:v>可用設定・月切替・一覧追加読込・入力検証・FREE境界を専用fixtureで実機UIから実行。</x:v>
      </x:c>
      <x:c r="F24" s="4" t="str">
        <x:v>OSごとに結果と証跡を保存し、同一ケースの両OS評価を独立させる。</x:v>
      </x:c>
      <x:c r="G24" s="4" t="str">
        <x:v>未整備</x:v>
      </x:c>
      <x:c r="H24" s="4" t="str">
        <x:v>実機自動化済みとは扱わない。</x:v>
      </x:c>
    </x:row>
    <x:row r="25" ht="110" customHeight="1">
      <x:c r="A25" s="4" t="str">
        <x:v>支援/後続</x:v>
      </x:c>
      <x:c r="B25" s="4" t="str">
        <x:v>26〜28,35,95〜97,106〜112,122〜127</x:v>
      </x:c>
      <x:c r="C25" s="4" t="str">
        <x:v>手動中心</x:v>
      </x:c>
      <x:c r="D25" s="4" t="str">
        <x:v>端末条件・移動・既知問題</x:v>
      </x:c>
      <x:c r="E25" s="4" t="str">
        <x:v>自動化は時刻同期・API観測・匿名化相対変位/遅延集計・録画収集まで。歩行/周回/権限/課金は実施者確認。</x:v>
      </x:c>
      <x:c r="F25" s="4" t="str">
        <x:v>異常の未再現を解決としない。実験フィルターを出荷へ自動採用しない。</x:v>
      </x:c>
      <x:c r="G25" s="4" t="str">
        <x:v>後続</x:v>
      </x:c>
      <x:c r="H25" s="4" t="str">
        <x:v>iOS遅延と静置13kmは合意どおり後続の複数回再現。</x:v>
      </x:c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 t="str">
        <x:v>既受容の制限：通常iOSの非ゼロ未送信を含む上書き直接照合、旧データ一括修復、既知2問題は今回の自動阻止ゲートへ変更しない。</x:v>
      </x:c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 t="str">
        <x:v>未確認の副機能・全権限組合せは通常回帰/変更時追試。P0という分類だけを根拠に、全項目の再実施を必須化しない。</x:v>
      </x:c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 ht="112" customHeight="1">
      <x:c r="A32" s="4" t="str">
        <x:v>追補</x:v>
      </x:c>
      <x:c r="B32" s="4" t="str">
        <x:v>128〜141</x:v>
      </x:c>
      <x:c r="C32" s="4" t="str">
        <x:v>管理者OTA</x:v>
      </x:c>
      <x:c r="D32" s="4" t="str">
        <x:v>未確認を継続</x:v>
      </x:c>
      <x:c r="E32" s="4" t="str">
        <x:v>Android5列・降順・横スクロール・再取得、通常版未送信の件数/内容一致、実機境界・故障注入。</x:v>
      </x:c>
      <x:c r="F32" s="4" t="str">
        <x:v>今回の画面確認を新OTAの保存／破棄／共有全回帰へ拡張解釈しない。</x:v>
      </x:c>
      <x:c r="G32" s="4" t="str">
        <x:v>後続／範囲限定</x:v>
      </x:c>
      <x:c r="H32" s="4" t="str">
        <x:v>ローカル9テストと実機判定を分離。既存G1〜G6と既知2問題は変更なし。</x:v>
      </x:c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60" hidden="0" customWidth="1"/>
    <x:col min="4" max="4" width="17" hidden="0" customWidth="1"/>
    <x:col min="5" max="5" width="76" hidden="0" customWidth="1"/>
    <x:col min="6" max="6" width="95" hidden="0" customWidth="1"/>
    <x:col min="7" max="7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証跡台帳・対象ビルド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本書の証跡IDは既存ファイルへの参照。保存日と実施日は同一とは限らない。対象版未特定は明記し、最新ビルドの証拠にしない。</x:v>
      </x:c>
      <x:c r="B4" s="1"/>
      <x:c r="C4" s="1"/>
      <x:c r="D4" s="1"/>
      <x:c r="E4" s="1"/>
      <x:c r="F4" s="1"/>
      <x:c r="G4" s="1"/>
      <x:c r="H4" s="1"/>
    </x:row>
    <x:row r="5">
      <x:c r="A5" s="1" t="str">
        <x:v>パスはこのMac上の資料。認証情報・精密座標を含むprivate原本は配布用仕様書へ転載していない。証跡照合日：2026-10-26。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8" customHeight="1">
      <x:c r="A7" s="24" t="str">
        <x:v>証跡ID</x:v>
      </x:c>
      <x:c r="B7" s="24" t="str">
        <x:v>証拠の種別</x:v>
      </x:c>
      <x:c r="C7" s="24" t="str">
        <x:v>対象ビルド・ソース</x:v>
      </x:c>
      <x:c r="D7" s="24" t="str">
        <x:v>実施/記録日</x:v>
      </x:c>
      <x:c r="E7" s="24" t="str">
        <x:v>確認内容と限界</x:v>
      </x:c>
      <x:c r="F7" s="24" t="str">
        <x:v>資料パス</x:v>
      </x:c>
      <x:c r="G7" s="24" t="str">
        <x:v>参照箇所</x:v>
      </x:c>
      <x:c r="H7" s="1"/>
    </x:row>
    <x:row r="8" ht="91" customHeight="1">
      <x:c r="A8" s="4" t="str">
        <x:v>E01</x:v>
      </x:c>
      <x:c r="B8" s="4" t="str">
        <x:v>現行実機</x:v>
      </x:c>
      <x:c r="C8" s="4" t="str">
        <x:v>1.0.5 Android27／iOS12、93d0fac</x:v>
      </x:c>
      <x:c r="D8" s="4" t="str">
        <x:v>2026-10-26</x:v>
      </x:c>
      <x:c r="E8" s="4" t="str">
        <x:v>上書き・保存・破棄・再起動。非ゼロ未送信保持と背景／共有は未実施と明記。</x:v>
      </x:c>
      <x:c r="F8" s="4" t="str">
        <x:v>/Users/satouhiroshi/Documents/Codex/2026-10-14/new-chat/outputs/incident105-corrected-internal-device-result.md</x:v>
      </x:c>
      <x:c r="G8" s="4" t="str">
        <x:v>表「通常保存」「サマリー時刻」「再起動」、末尾の制限</x:v>
      </x:c>
      <x:c r="H8" s="1"/>
    </x:row>
    <x:row r="9" ht="91" customHeight="1">
      <x:c r="A9" s="4" t="str">
        <x:v>E02</x:v>
      </x:c>
      <x:c r="B9" s="4" t="str">
        <x:v>現行クラウド照合</x:v>
      </x:c>
      <x:c r="C9" s="4" t="str">
        <x:v>同上</x:v>
      </x:c>
      <x:c r="D9" s="4" t="str">
        <x:v>2026-10-26</x:v>
      </x:c>
      <x:c r="E9" s="4" t="str">
        <x:v>Android5点65.291秒1.3528m／iOS4点70.015秒0m、重複0、既存原記録変更0。</x:v>
      </x:c>
      <x:c r="F9" s="4" t="str">
        <x:v>/Users/satouhiroshi/Documents/Codex/2026-10-14/new-chat/outputs/incident105-corrected-save-comparison.json</x:v>
      </x:c>
      <x:c r="G9" s="4" t="str">
        <x:v>android.save／ios.save、各モデルmissingOld／changedOld</x:v>
      </x:c>
      <x:c r="H9" s="1"/>
    </x:row>
    <x:row r="10" ht="91" customHeight="1">
      <x:c r="A10" s="4" t="str">
        <x:v>E03</x:v>
      </x:c>
      <x:c r="B10" s="4" t="str">
        <x:v>現行クラウド照合</x:v>
      </x:c>
      <x:c r="C10" s="4" t="str">
        <x:v>同上</x:v>
      </x:c>
      <x:c r="D10" s="4" t="str">
        <x:v>2026-10-26</x:v>
      </x:c>
      <x:c r="E10" s="4" t="str">
        <x:v>破棄後に記録・地点・月次・週次が保存後の基準と一致。</x:v>
      </x:c>
      <x:c r="F10" s="4" t="str">
        <x:v>/Users/satouhiroshi/Documents/Codex/2026-10-14/new-chat/outputs/incident105-corrected-discard-comparison.json</x:v>
      </x:c>
      <x:c r="G10" s="4" t="str">
        <x:v>android／iosの4モデルunchanged=true</x:v>
      </x:c>
      <x:c r="H10" s="1"/>
    </x:row>
    <x:row r="11" ht="91" customHeight="1">
      <x:c r="A11" s="4" t="str">
        <x:v>E04</x:v>
      </x:c>
      <x:c r="B11" s="4" t="str">
        <x:v>現行クラウド照合</x:v>
      </x:c>
      <x:c r="C11" s="4" t="str">
        <x:v>同上</x:v>
      </x:c>
      <x:c r="D11" s="4" t="str">
        <x:v>2026-10-26</x:v>
      </x:c>
      <x:c r="E11" s="4" t="str">
        <x:v>再起動後も保存後基準と一致。UIはE01と利用者報告で補完。</x:v>
      </x:c>
      <x:c r="F11" s="4" t="str">
        <x:v>/Users/satouhiroshi/Documents/Codex/2026-10-14/new-chat/outputs/incident105-corrected-restart-comparison.json</x:v>
      </x:c>
      <x:c r="G11" s="4" t="str">
        <x:v>android／iosの4モデルunchanged=true</x:v>
      </x:c>
      <x:c r="H11" s="1"/>
    </x:row>
    <x:row r="12" ht="91" customHeight="1">
      <x:c r="A12" s="4" t="str">
        <x:v>E05</x:v>
      </x:c>
      <x:c r="B12" s="4" t="str">
        <x:v>現行成果物検査</x:v>
      </x:c>
      <x:c r="C12" s="4" t="str">
        <x:v>Android27／iOS12、93d0fac</x:v>
      </x:c>
      <x:c r="D12" s="4" t="str">
        <x:v>2026-10-26</x:v>
      </x:c>
      <x:c r="E12" s="4" t="str">
        <x:v>署名・本番接続・内蔵破棄API・原ログ時刻・検証コード非混入。実機観察とは区別。</x:v>
      </x:c>
      <x:c r="F12" s="4" t="str">
        <x:v>/Users/satouhiroshi/Documents/Codex/2026-10-14/new-chat/outputs/incident105-corrected-artifact-verification.json</x:v>
      </x:c>
      <x:c r="G12" s="4" t="str">
        <x:v>android／ios、embeddedUpdateId・signatureVerified等</x:v>
      </x:c>
      <x:c r="H12" s="1"/>
    </x:row>
    <x:row r="13" ht="91" customHeight="1">
      <x:c r="A13" s="4" t="str">
        <x:v>E06</x:v>
      </x:c>
      <x:c r="B13" s="4" t="str">
        <x:v>本番API試験</x:v>
      </x:c>
      <x:c r="C13" s="4" t="str">
        <x:v>本番backend v2、c8c7792。OS非依存</x:v>
      </x:c>
      <x:c r="D13" s="4" t="str">
        <x:v>2026-10-25</x:v>
      </x:c>
      <x:c r="E13" s="4" t="str">
        <x:v>旧新版形式API14項目、再送・破棄墓標・他ユーザー拒否・共有更新／停止。端末UI試験ではない。</x:v>
      </x:c>
      <x:c r="F13" s="4" t="str">
        <x:v>/Users/satouhiroshi/Documents/Codex/2026-10-14/new-chat/outputs/incident105-production-rollout-result.md</x:v>
      </x:c>
      <x:c r="G13" s="4" t="str">
        <x:v>「旧版・新版APIの確認：14/14合格」「現在地共有」</x:v>
      </x:c>
      <x:c r="H13" s="1"/>
    </x:row>
    <x:row r="14" ht="91" customHeight="1">
      <x:c r="A14" s="4" t="str">
        <x:v>E07</x:v>
      </x:c>
      <x:c r="B14" s="4" t="str">
        <x:v>旧候補実機＋一部ローカル</x:v>
      </x:c>
      <x:c r="C14" s="4" t="str">
        <x:v>検証104候補。AndroidローカルAPK、共有先はAPI37エミュレーター。iOS1.0.4(104)</x:v>
      </x:c>
      <x:c r="D14" s="4" t="str">
        <x:v>2026-10-24</x:v>
      </x:c>
      <x:c r="E14" s="4" t="str">
        <x:v>長時間・上限復旧・共有・iPhone閲覧・録画・切替。27/12とは異なる。候補更新が複数あり同一バイナリとはしない。</x:v>
      </x:c>
      <x:c r="F14" s="4" t="str">
        <x:v>/Users/satouhiroshi/Documents/Codex/2026-10-14/new-chat/outputs/incident104-final-regression.md</x:v>
      </x:c>
      <x:c r="G14" s="4" t="str">
        <x:v>「整理後長時間保存」「共有先画面の最終確認」「iPhone共有先画面：5/5」</x:v>
      </x:c>
      <x:c r="H14" s="1"/>
    </x:row>
    <x:row r="15" ht="91" customHeight="1">
      <x:c r="A15" s="4" t="str">
        <x:v>E08</x:v>
      </x:c>
      <x:c r="B15" s="4" t="str">
        <x:v>旧候補実機</x:v>
      </x:c>
      <x:c r="C15" s="4" t="str">
        <x:v>iOS検証104・最小診断追加ローカル版、production12ではない</x:v>
      </x:c>
      <x:c r="D15" s="4" t="str">
        <x:v>2026-10-24</x:v>
      </x:c>
      <x:c r="E15" s="4" t="str">
        <x:v>USB未接続65分、248点観測・最終252点。最大遅延30.832秒。異常再発の解消証明ではない。</x:v>
      </x:c>
      <x:c r="F15" s="4" t="str">
        <x:v>/Users/satouhiroshi/Documents/Codex/2026-10-14/new-chat/outputs/incident104-ios-diagnostic-results.md</x:v>
      </x:c>
      <x:c r="G15" s="4" t="str">
        <x:v>「結果」「判定と限界」</x:v>
      </x:c>
      <x:c r="H15" s="1"/>
    </x:row>
    <x:row r="16" ht="91" customHeight="1">
      <x:c r="A16" s="4" t="str">
        <x:v>E09</x:v>
      </x:c>
      <x:c r="B16" s="4" t="str">
        <x:v>旧候補実機・合成保持</x:v>
      </x:c>
      <x:c r="C16" s="4" t="str">
        <x:v>Android／iOS検証104の認証診断版。ac7c841／0202e5a時点の結果</x:v>
      </x:c>
      <x:c r="D16" s="4" t="str">
        <x:v>2026-10-25</x:v>
      </x:c>
      <x:c r="E16" s="4" t="str">
        <x:v>2回ログイン、切替・再起動。Android2032件／iOS1738件＋各合成pending2件。実未送信配送試験とは異なる。</x:v>
      </x:c>
      <x:c r="F16" s="4" t="str">
        <x:v>/Users/satouhiroshi/Documents/Codex/2026-10-14/new-chat/outputs/incident105-auth-final-result.json</x:v>
      </x:c>
      <x:c r="G16" s="4" t="str">
        <x:v>dedicatedRepeatedLoginSuccesses、iosRepeatLogins、各Queue保持</x:v>
      </x:c>
      <x:c r="H16" s="1"/>
    </x:row>
    <x:row r="17" ht="91" customHeight="1">
      <x:c r="A17" s="4" t="str">
        <x:v>E10</x:v>
      </x:c>
      <x:c r="B17" s="4" t="str">
        <x:v>旧通常版実機＋OTA</x:v>
      </x:c>
      <x:c r="C17" s="4" t="str">
        <x:v>Android26／iOS11＋ed51468 OTA。27／12ではない</x:v>
      </x:c>
      <x:c r="D17" s="4" t="str">
        <x:v>2026-10-25</x:v>
      </x:c>
      <x:c r="E17" s="4" t="str">
        <x:v>Android未完了破棄2件を順次再開。iOS保存・破棄・再起動。過去の失敗記録も含むため最終節を参照。</x:v>
      </x:c>
      <x:c r="F17" s="4" t="str">
        <x:v>/Users/satouhiroshi/Documents/Codex/2026-10-14/new-chat/outputs/incident105-internal-distribution-status.md</x:v>
      </x:c>
      <x:c r="G17" s="4" t="str">
        <x:v>「Android discard recovery」「iOS discard UI/cloud verification」「iOS final restart passed」等の最終追補</x:v>
      </x:c>
      <x:c r="H17" s="1"/>
    </x:row>
    <x:row r="18" ht="91" customHeight="1">
      <x:c r="A18" s="4" t="str">
        <x:v>E11</x:v>
      </x:c>
      <x:c r="B18" s="4" t="str">
        <x:v>ローカル自動試験</x:v>
      </x:c>
      <x:c r="C18" s="4" t="str">
        <x:v>93d0fac直前のソース。実機テストではない</x:v>
      </x:c>
      <x:c r="D18" s="4" t="str">
        <x:v>2026-10-25</x:v>
      </x:c>
      <x:c r="E18" s="4" t="str">
        <x:v>TypeScript80件合格。保存・破棄・再送・停止復旧・時刻・認証診断。</x:v>
      </x:c>
      <x:c r="F18" s="4" t="str">
        <x:v>/Users/satouhiroshi/Documents/Codex/2026-10-14/new-chat/outputs/incident105-summary-final-ts-regression.log</x:v>
      </x:c>
      <x:c r="G18" s="4" t="str">
        <x:v>TAP終端tests80/pass80/fail0</x:v>
      </x:c>
      <x:c r="H18" s="1"/>
    </x:row>
    <x:row r="19" ht="91" customHeight="1">
      <x:c r="A19" s="4" t="str">
        <x:v>E12</x:v>
      </x:c>
      <x:c r="B19" s="4" t="str">
        <x:v>ローカル自動試験</x:v>
      </x:c>
      <x:c r="C19" s="4" t="str">
        <x:v>同上。実機テストではない</x:v>
      </x:c>
      <x:c r="D19" s="4" t="str">
        <x:v>2026-10-25</x:v>
      </x:c>
      <x:c r="E19" s="4" t="str">
        <x:v>CJS24件合格。生成互換・Nativeソース・サマリー原ログ時刻等。</x:v>
      </x:c>
      <x:c r="F19" s="4" t="str">
        <x:v>/Users/satouhiroshi/Documents/Codex/2026-10-14/new-chat/outputs/incident105-summary-final-native-regression.log</x:v>
      </x:c>
      <x:c r="G19" s="4" t="str">
        <x:v>各Subtestと終端tests24/pass24</x:v>
      </x:c>
      <x:c r="H19" s="1"/>
    </x:row>
    <x:row r="20" ht="91" customHeight="1">
      <x:c r="A20" s="4" t="str">
        <x:v>E13</x:v>
      </x:c>
      <x:c r="B20" s="4" t="str">
        <x:v>ローカル境界＋読取監査</x:v>
      </x:c>
      <x:c r="C20" s="4" t="str">
        <x:v>93d0facへ取り込んだ修正。実機境界試験ではない</x:v>
      </x:c>
      <x:c r="D20" s="4" t="str">
        <x:v>2026-10-25</x:v>
      </x:c>
      <x:c r="E20" s="4" t="str">
        <x:v>時刻境界9試験、282サマリー読取監査。15件差・9件原ログ不足、既存値は未修復。</x:v>
      </x:c>
      <x:c r="F20" s="4" t="str">
        <x:v>/Users/satouhiroshi/Documents/Codex/2026-10-14/new-chat/outputs/incident105-summary-time-fix-and-audit.md</x:v>
      </x:c>
      <x:c r="G20" s="4" t="str">
        <x:v>「検証」「本番の読み取り監査」</x:v>
      </x:c>
      <x:c r="H20" s="1"/>
    </x:row>
    <x:row r="21" ht="91" customHeight="1">
      <x:c r="A21" s="4" t="str">
        <x:v>E14</x:v>
      </x:c>
      <x:c r="B21" s="4" t="str">
        <x:v>旧候補実機＋診断再生</x:v>
      </x:c>
      <x:c r="C21" s="4" t="str">
        <x:v>Android検証104の品質V2／時間表示修正版、複数ローカルAPK</x:v>
      </x:c>
      <x:c r="D21" s="4" t="str">
        <x:v>2026-10-24</x:v>
      </x:c>
      <x:c r="E21" s="4" t="str">
        <x:v>低速73m・周回95mを保存。開始終了品質照合・時間表示修正。実験除外は出荷へ不採用。</x:v>
      </x:c>
      <x:c r="F21" s="4" t="str">
        <x:v>/Users/satouhiroshi/Documents/Codex/2026-10-14/new-chat/outputs/incident104-position-quality-design.md</x:v>
      </x:c>
      <x:c r="G21" s="4" t="str">
        <x:v>「新添付045147」「時間表示修正版」「詳細診断の出荷コードからの除去」</x:v>
      </x:c>
      <x:c r="H21" s="1"/>
    </x:row>
    <x:row r="22" ht="91" customHeight="1">
      <x:c r="A22" s="4" t="str">
        <x:v>E15</x:v>
      </x:c>
      <x:c r="B22" s="4" t="str">
        <x:v>旧通常版・開発画面＋API</x:v>
      </x:c>
      <x:c r="C22" s="4" t="str">
        <x:v>2026-10-18の通常／開発版。正確なビルド番号は資料未確定</x:v>
      </x:c>
      <x:c r="D22" s="4" t="str">
        <x:v>2026-10-18</x:v>
      </x:c>
      <x:c r="E22" s="4" t="str">
        <x:v>履歴共有・解除・再共有の往復。現行ビルドの実機合格へ転記しない。</x:v>
      </x:c>
      <x:c r="F22" s="4" t="str">
        <x:v>/Users/satouhiroshi/Documents/Codex/2026-10-14/new-chat/outputs/phase7-8-reshare-results.md</x:v>
      </x:c>
      <x:c r="G22" s="4" t="str">
        <x:v>正式再共有後の確認</x:v>
      </x:c>
      <x:c r="H22" s="1"/>
    </x:row>
    <x:row r="23" ht="91" customHeight="1">
      <x:c r="A23" s="4" t="str">
        <x:v>E16</x:v>
      </x:c>
      <x:c r="B23" s="4" t="str">
        <x:v>旧iPhone通常版実機</x:v>
      </x:c>
      <x:c r="C23" s="4" t="str">
        <x:v>2026-10-18 App Store配布版。ビルド番号未特定</x:v>
      </x:c>
      <x:c r="D23" s="4" t="str">
        <x:v>2026-10-18</x:v>
      </x:c>
      <x:c r="E23" s="4" t="str">
        <x:v>記録保存・地図経路・カレンダー遷移。今回版ではない。</x:v>
      </x:c>
      <x:c r="F23" s="4" t="str">
        <x:v>/Users/satouhiroshi/Documents/Codex/2026-10-14/new-chat/outputs/phase7-8-iphone-results.md</x:v>
      </x:c>
      <x:c r="G23" s="4" t="str">
        <x:v>iPhone出荷版の回帰確認</x:v>
      </x:c>
      <x:c r="H23" s="1"/>
    </x:row>
    <x:row r="24" ht="91" customHeight="1">
      <x:c r="A24" s="4" t="str">
        <x:v>E17</x:v>
      </x:c>
      <x:c r="B24" s="4" t="str">
        <x:v>提出前構成／ストア確認</x:v>
      </x:c>
      <x:c r="C24" s="4" t="str">
        <x:v>Android27・iOS12／93d0fac</x:v>
      </x:c>
      <x:c r="D24" s="4" t="str">
        <x:v>2026-10-26</x:v>
      </x:c>
      <x:c r="E24" s="4" t="str">
        <x:v>出荷SHA・OTA一覧・本番整合・提出設定と審査受付。公開完了の証拠ではない。</x:v>
      </x:c>
      <x:c r="F24" s="4" t="str">
        <x:v>/Users/satouhiroshi/Documents/Codex/2026-10-14/new-chat/outputs/incident105-store-preflight-20261026.md</x:v>
      </x:c>
      <x:c r="G24" s="4" t="str">
        <x:v>最終追補「審査提出完了」</x:v>
      </x:c>
      <x:c r="H24" s="1"/>
    </x:row>
    <x:row r="25" ht="91" customHeight="1">
      <x:c r="A25" s="4" t="str">
        <x:v>E18</x:v>
      </x:c>
      <x:c r="B25" s="4" t="str">
        <x:v>旧候補iOS実機異常</x:v>
      </x:c>
      <x:c r="C25" s="4" t="str">
        <x:v>iOS検証104・診断追加前ローカル版</x:v>
      </x:c>
      <x:c r="D25" s="4" t="str">
        <x:v>2026-10-24</x:v>
      </x:c>
      <x:c r="E25" s="4" t="str">
        <x:v>最大保存遅延278.818秒、測位間隔277.999秒、共有送信5秒タイムアウト。原因未確定。</x:v>
      </x:c>
      <x:c r="F25" s="4" t="str">
        <x:v>/Users/satouhiroshi/Documents/Codex/2026-10-14/new-chat/outputs/incident104-ios-delay-analysis.md</x:v>
      </x:c>
      <x:c r="G25" s="4" t="str">
        <x:v>「確認できたこと」「未解決」</x:v>
      </x:c>
      <x:c r="H25" s="1"/>
    </x:row>
    <x:row r="26" ht="91" customHeight="1">
      <x:c r="A26" s="4" t="str">
        <x:v>E19</x:v>
      </x:c>
      <x:c r="B26" s="4" t="str">
        <x:v>旧候補実機／ローカル・認証詳細</x:v>
      </x:c>
      <x:c r="C26" s="4" t="str">
        <x:v>検証104。ビルド番号よりコード版・保持ハーネスを参照</x:v>
      </x:c>
      <x:c r="D26" s="4" t="str">
        <x:v>2026-10-25</x:v>
      </x:c>
      <x:c r="E26" s="4" t="str">
        <x:v>認証ラッパーと4単体試験。合成pendingは非実在所有者で送信対象外。再現なし。</x:v>
      </x:c>
      <x:c r="F26" s="4" t="str">
        <x:v>/Users/satouhiroshi/Documents/Codex/2026-10-14/new-chat/outputs/incident105-auth-minimal-countermeasure.md</x:v>
      </x:c>
      <x:c r="G26" s="4" t="str">
        <x:v>「最終結果（Android）」、iOS結果はE09</x:v>
      </x:c>
      <x:c r="H26" s="1"/>
    </x:row>
    <x:row r="27" ht="91" customHeight="1">
      <x:c r="A27" s="4" t="str">
        <x:v>E20</x:v>
      </x:c>
      <x:c r="B27" s="4" t="str">
        <x:v>回帰の説明</x:v>
      </x:c>
      <x:c r="C27" s="4" t="str">
        <x:v>93d0facへ固定したソース、実機ではない</x:v>
      </x:c>
      <x:c r="D27" s="4" t="str">
        <x:v>2026-10-25</x:v>
      </x:c>
      <x:c r="E27" s="4" t="str">
        <x:v>80 TS＋24 CJS＋12実SQLite、30生成API。Expo実機専用試験のNode実行失敗を合格数から除外。</x:v>
      </x:c>
      <x:c r="F27" s="4" t="str">
        <x:v>/Users/satouhiroshi/Desktop/LocationTrackerApp/docs/releases/summary-time-1.0.5-regression.md</x:v>
      </x:c>
      <x:c r="G27" s="4" t="str">
        <x:v>Regression results／Remaining release gates</x:v>
      </x:c>
      <x:c r="H27" s="1"/>
    </x:row>
    <x:row r="28" ht="115" customHeight="1">
      <x:c r="A28" s="4" t="str">
        <x:v>E21</x:v>
      </x:c>
      <x:c r="B28" s="4" t="str">
        <x:v>EAS配信・出力検査</x:v>
      </x:c>
      <x:c r="C28" s="4" t="str">
        <x:v>Android27／iOS12 + OTA 3b985c7</x:v>
      </x:c>
      <x:c r="D28" s="4" t="str">
        <x:v>2026-10-26</x:v>
      </x:c>
      <x:c r="E28" s="4" t="str">
        <x:v>production/runtime1.0.5。Android01a1782e-12e2-78ef-a5ad-f48aa949961b／iOS01a1782e-12e2-76d1-b530-e8cb54c45716。診断JSON・位置ID除外。</x:v>
      </x:c>
      <x:c r="F28" s="4" t="str">
        <x:v>docs/releases/admin-user-app-versions-2026-10-26.md</x:v>
      </x:c>
      <x:c r="G28" s="4" t="str">
        <x:v>配信情報・ローカル検査</x:v>
      </x:c>
      <x:c r="H28" s="1"/>
    </x:row>
    <x:row r="29" ht="115" customHeight="1">
      <x:c r="A29" s="4" t="str">
        <x:v>E22</x:v>
      </x:c>
      <x:c r="B29" s="4" t="str">
        <x:v>利用者の実機報告</x:v>
      </x:c>
      <x:c r="C29" s="4" t="str">
        <x:v>同上。通常版、両OS実機</x:v>
      </x:c>
      <x:c r="D29" s="4" t="str">
        <x:v>2026-10-26</x:v>
      </x:c>
      <x:c r="E29" s="4" t="str">
        <x:v>両OS適用ID一致。Android一覧表示。iOS5列/JST降順/横スクロール/再取得、元ユーザーへ復帰し地図/時間/距離/停止保持。Android再ログイン成功。未送信件数内容は未計測。</x:v>
      </x:c>
      <x:c r="F29" s="4" t="str">
        <x:v>docs/releases/admin-user-app-versions-2026-10-26.md</x:v>
      </x:c>
      <x:c r="G29" s="4" t="str">
        <x:v>実機結果・ユーザー報告の要約（録画等の追加添付なし）</x:v>
      </x:c>
      <x:c r="H29" s="1"/>
    </x:row>
    <x:row r="30" ht="115" customHeight="1">
      <x:c r="A30" s="4" t="str">
        <x:v>E23</x:v>
      </x:c>
      <x:c r="B30" s="4" t="str">
        <x:v>ローカル自動・コード読取</x:v>
      </x:c>
      <x:c r="C30" s="4" t="str">
        <x:v>3b985c7。実機試験ではない</x:v>
      </x:c>
      <x:c r="D30" s="4" t="str">
        <x:v>2026-10-26</x:v>
      </x:c>
      <x:c r="E30" s="4" t="str">
        <x:v>9テスト/型/静的検査/30 API確認。サインアウトでキューを削除しない実装。実未送信の前後一致・配送を証明しない。</x:v>
      </x:c>
      <x:c r="F30" s="4" t="str">
        <x:v>tests/adminUserAppVersions.test.ts / docs/releases/admin-user-app-versions-2026-10-26.md</x:v>
      </x:c>
      <x:c r="G30" s="4" t="str">
        <x:v>テスト項目・限界・参照コード</x:v>
      </x:c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  <x:tableParts count="1">
    <x:tablePart xmlns:r="http://schemas.openxmlformats.org/officeDocument/2006/relationships" r:id="R8f3e525b382f45ec"/>
  </x:tableParts>
</x:worksheet>
</file>